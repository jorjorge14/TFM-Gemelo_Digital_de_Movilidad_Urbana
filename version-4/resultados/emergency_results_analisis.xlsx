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modulo-4\resultados\"/>
    </mc:Choice>
  </mc:AlternateContent>
  <xr:revisionPtr revIDLastSave="0" documentId="13_ncr:1_{D0DE3B46-E43D-4914-AD41-79FA529217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ergency_results" sheetId="4" r:id="rId1"/>
  </sheets>
  <definedNames>
    <definedName name="DatosExternos_1" localSheetId="0" hidden="1">emergency_results!$A$1:$K$107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4" l="1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Q16" i="4" s="1"/>
  <c r="P17" i="4"/>
  <c r="P18" i="4"/>
  <c r="P19" i="4"/>
  <c r="P20" i="4"/>
  <c r="P21" i="4"/>
  <c r="P22" i="4"/>
  <c r="P23" i="4"/>
  <c r="P24" i="4"/>
  <c r="R24" i="4" s="1"/>
  <c r="P25" i="4"/>
  <c r="P26" i="4"/>
  <c r="P27" i="4"/>
  <c r="P28" i="4"/>
  <c r="P29" i="4"/>
  <c r="P30" i="4"/>
  <c r="P31" i="4"/>
  <c r="P32" i="4"/>
  <c r="Q32" i="4" s="1"/>
  <c r="P33" i="4"/>
  <c r="P34" i="4"/>
  <c r="P35" i="4"/>
  <c r="P36" i="4"/>
  <c r="P37" i="4"/>
  <c r="P38" i="4"/>
  <c r="P39" i="4"/>
  <c r="P40" i="4"/>
  <c r="Q40" i="4" s="1"/>
  <c r="P41" i="4"/>
  <c r="P42" i="4"/>
  <c r="P43" i="4"/>
  <c r="P44" i="4"/>
  <c r="P45" i="4"/>
  <c r="P46" i="4"/>
  <c r="P47" i="4"/>
  <c r="P48" i="4"/>
  <c r="Q48" i="4" s="1"/>
  <c r="P49" i="4"/>
  <c r="P50" i="4"/>
  <c r="P51" i="4"/>
  <c r="P52" i="4"/>
  <c r="P53" i="4"/>
  <c r="P54" i="4"/>
  <c r="P55" i="4"/>
  <c r="P56" i="4"/>
  <c r="Q56" i="4" s="1"/>
  <c r="P57" i="4"/>
  <c r="P58" i="4"/>
  <c r="P59" i="4"/>
  <c r="P60" i="4"/>
  <c r="P61" i="4"/>
  <c r="P62" i="4"/>
  <c r="P63" i="4"/>
  <c r="P64" i="4"/>
  <c r="Q64" i="4" s="1"/>
  <c r="P65" i="4"/>
  <c r="P66" i="4"/>
  <c r="P67" i="4"/>
  <c r="P68" i="4"/>
  <c r="P69" i="4"/>
  <c r="P70" i="4"/>
  <c r="P71" i="4"/>
  <c r="P72" i="4"/>
  <c r="Q72" i="4" s="1"/>
  <c r="P73" i="4"/>
  <c r="P74" i="4"/>
  <c r="P75" i="4"/>
  <c r="P76" i="4"/>
  <c r="P77" i="4"/>
  <c r="P78" i="4"/>
  <c r="P79" i="4"/>
  <c r="P80" i="4"/>
  <c r="Q80" i="4" s="1"/>
  <c r="P81" i="4"/>
  <c r="P82" i="4"/>
  <c r="P83" i="4"/>
  <c r="P84" i="4"/>
  <c r="Q84" i="4" s="1"/>
  <c r="P85" i="4"/>
  <c r="Q85" i="4" s="1"/>
  <c r="P86" i="4"/>
  <c r="R86" i="4" s="1"/>
  <c r="S86" i="4" s="1"/>
  <c r="P87" i="4"/>
  <c r="P88" i="4"/>
  <c r="Q88" i="4" s="1"/>
  <c r="P89" i="4"/>
  <c r="P90" i="4"/>
  <c r="P91" i="4"/>
  <c r="P92" i="4"/>
  <c r="P93" i="4"/>
  <c r="Q93" i="4" s="1"/>
  <c r="P94" i="4"/>
  <c r="R94" i="4" s="1"/>
  <c r="P95" i="4"/>
  <c r="P96" i="4"/>
  <c r="Q96" i="4" s="1"/>
  <c r="P97" i="4"/>
  <c r="Q97" i="4" s="1"/>
  <c r="P98" i="4"/>
  <c r="P99" i="4"/>
  <c r="R99" i="4" s="1"/>
  <c r="P100" i="4"/>
  <c r="R100" i="4" s="1"/>
  <c r="S100" i="4" s="1"/>
  <c r="P101" i="4"/>
  <c r="R101" i="4" s="1"/>
  <c r="S101" i="4" s="1"/>
  <c r="P102" i="4"/>
  <c r="R102" i="4" s="1"/>
  <c r="P103" i="4"/>
  <c r="P104" i="4"/>
  <c r="Q104" i="4" s="1"/>
  <c r="P105" i="4"/>
  <c r="P106" i="4"/>
  <c r="P107" i="4"/>
  <c r="Q107" i="4" s="1"/>
  <c r="Q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3" i="4"/>
  <c r="Q34" i="4"/>
  <c r="Q35" i="4"/>
  <c r="Q36" i="4"/>
  <c r="Q37" i="4"/>
  <c r="Q38" i="4"/>
  <c r="Q39" i="4"/>
  <c r="Q41" i="4"/>
  <c r="Q42" i="4"/>
  <c r="Q43" i="4"/>
  <c r="Q44" i="4"/>
  <c r="Q45" i="4"/>
  <c r="Q46" i="4"/>
  <c r="Q47" i="4"/>
  <c r="Q49" i="4"/>
  <c r="Q50" i="4"/>
  <c r="Q51" i="4"/>
  <c r="Q52" i="4"/>
  <c r="Q53" i="4"/>
  <c r="Q54" i="4"/>
  <c r="Q55" i="4"/>
  <c r="Q57" i="4"/>
  <c r="Q58" i="4"/>
  <c r="Q59" i="4"/>
  <c r="Q60" i="4"/>
  <c r="Q61" i="4"/>
  <c r="Q62" i="4"/>
  <c r="Q63" i="4"/>
  <c r="Q65" i="4"/>
  <c r="Q66" i="4"/>
  <c r="Q67" i="4"/>
  <c r="Q68" i="4"/>
  <c r="Q69" i="4"/>
  <c r="Q70" i="4"/>
  <c r="Q71" i="4"/>
  <c r="Q73" i="4"/>
  <c r="Q74" i="4"/>
  <c r="Q75" i="4"/>
  <c r="Q76" i="4"/>
  <c r="Q77" i="4"/>
  <c r="Q78" i="4"/>
  <c r="Q79" i="4"/>
  <c r="Q81" i="4"/>
  <c r="Q82" i="4"/>
  <c r="Q83" i="4"/>
  <c r="Q86" i="4"/>
  <c r="Q87" i="4"/>
  <c r="Q89" i="4"/>
  <c r="Q90" i="4"/>
  <c r="Q91" i="4"/>
  <c r="Q92" i="4"/>
  <c r="Q94" i="4"/>
  <c r="Q95" i="4"/>
  <c r="Q98" i="4"/>
  <c r="Q99" i="4"/>
  <c r="Q101" i="4"/>
  <c r="Q102" i="4"/>
  <c r="Q103" i="4"/>
  <c r="Q105" i="4"/>
  <c r="Q106" i="4"/>
  <c r="R2" i="4"/>
  <c r="R3" i="4"/>
  <c r="R4" i="4"/>
  <c r="R5" i="4"/>
  <c r="S5" i="4" s="1"/>
  <c r="R6" i="4"/>
  <c r="R7" i="4"/>
  <c r="R8" i="4"/>
  <c r="R9" i="4"/>
  <c r="R10" i="4"/>
  <c r="R11" i="4"/>
  <c r="R12" i="4"/>
  <c r="R13" i="4"/>
  <c r="S13" i="4" s="1"/>
  <c r="R14" i="4"/>
  <c r="R15" i="4"/>
  <c r="R16" i="4"/>
  <c r="R17" i="4"/>
  <c r="R18" i="4"/>
  <c r="R19" i="4"/>
  <c r="R20" i="4"/>
  <c r="R21" i="4"/>
  <c r="R22" i="4"/>
  <c r="S22" i="4" s="1"/>
  <c r="R23" i="4"/>
  <c r="R25" i="4"/>
  <c r="R26" i="4"/>
  <c r="R27" i="4"/>
  <c r="R28" i="4"/>
  <c r="S28" i="4" s="1"/>
  <c r="R29" i="4"/>
  <c r="S29" i="4" s="1"/>
  <c r="R30" i="4"/>
  <c r="S30" i="4" s="1"/>
  <c r="R31" i="4"/>
  <c r="R33" i="4"/>
  <c r="S33" i="4" s="1"/>
  <c r="R34" i="4"/>
  <c r="R35" i="4"/>
  <c r="R36" i="4"/>
  <c r="R37" i="4"/>
  <c r="R38" i="4"/>
  <c r="S38" i="4" s="1"/>
  <c r="R39" i="4"/>
  <c r="S39" i="4" s="1"/>
  <c r="R41" i="4"/>
  <c r="R42" i="4"/>
  <c r="R43" i="4"/>
  <c r="R44" i="4"/>
  <c r="R45" i="4"/>
  <c r="R46" i="4"/>
  <c r="S46" i="4" s="1"/>
  <c r="R47" i="4"/>
  <c r="S47" i="4" s="1"/>
  <c r="R49" i="4"/>
  <c r="R50" i="4"/>
  <c r="R51" i="4"/>
  <c r="R52" i="4"/>
  <c r="R53" i="4"/>
  <c r="R54" i="4"/>
  <c r="R55" i="4"/>
  <c r="S55" i="4" s="1"/>
  <c r="R57" i="4"/>
  <c r="R58" i="4"/>
  <c r="R59" i="4"/>
  <c r="R60" i="4"/>
  <c r="S60" i="4" s="1"/>
  <c r="R61" i="4"/>
  <c r="S61" i="4" s="1"/>
  <c r="R62" i="4"/>
  <c r="R63" i="4"/>
  <c r="R65" i="4"/>
  <c r="R66" i="4"/>
  <c r="S66" i="4" s="1"/>
  <c r="R67" i="4"/>
  <c r="S67" i="4" s="1"/>
  <c r="R68" i="4"/>
  <c r="R69" i="4"/>
  <c r="R70" i="4"/>
  <c r="S70" i="4" s="1"/>
  <c r="R71" i="4"/>
  <c r="R73" i="4"/>
  <c r="S73" i="4" s="1"/>
  <c r="R74" i="4"/>
  <c r="R75" i="4"/>
  <c r="R76" i="4"/>
  <c r="S76" i="4" s="1"/>
  <c r="R77" i="4"/>
  <c r="S77" i="4" s="1"/>
  <c r="R78" i="4"/>
  <c r="R79" i="4"/>
  <c r="R81" i="4"/>
  <c r="S81" i="4" s="1"/>
  <c r="R82" i="4"/>
  <c r="R83" i="4"/>
  <c r="R84" i="4"/>
  <c r="S84" i="4" s="1"/>
  <c r="R85" i="4"/>
  <c r="S85" i="4" s="1"/>
  <c r="R87" i="4"/>
  <c r="S87" i="4" s="1"/>
  <c r="R89" i="4"/>
  <c r="R90" i="4"/>
  <c r="R91" i="4"/>
  <c r="R92" i="4"/>
  <c r="R93" i="4"/>
  <c r="S93" i="4" s="1"/>
  <c r="R95" i="4"/>
  <c r="R97" i="4"/>
  <c r="S97" i="4" s="1"/>
  <c r="R98" i="4"/>
  <c r="R103" i="4"/>
  <c r="S103" i="4" s="1"/>
  <c r="R105" i="4"/>
  <c r="S105" i="4" s="1"/>
  <c r="R106" i="4"/>
  <c r="R107" i="4"/>
  <c r="S107" i="4" s="1"/>
  <c r="S2" i="4"/>
  <c r="S3" i="4"/>
  <c r="S4" i="4"/>
  <c r="S6" i="4"/>
  <c r="S7" i="4"/>
  <c r="S8" i="4"/>
  <c r="S9" i="4"/>
  <c r="S10" i="4"/>
  <c r="S11" i="4"/>
  <c r="S12" i="4"/>
  <c r="S14" i="4"/>
  <c r="S15" i="4"/>
  <c r="S16" i="4"/>
  <c r="S17" i="4"/>
  <c r="S18" i="4"/>
  <c r="S19" i="4"/>
  <c r="S20" i="4"/>
  <c r="S21" i="4"/>
  <c r="S23" i="4"/>
  <c r="S24" i="4"/>
  <c r="S25" i="4"/>
  <c r="S26" i="4"/>
  <c r="S27" i="4"/>
  <c r="S31" i="4"/>
  <c r="S32" i="4"/>
  <c r="S34" i="4"/>
  <c r="S35" i="4"/>
  <c r="S36" i="4"/>
  <c r="S37" i="4"/>
  <c r="S40" i="4"/>
  <c r="S41" i="4"/>
  <c r="S42" i="4"/>
  <c r="S43" i="4"/>
  <c r="S44" i="4"/>
  <c r="S45" i="4"/>
  <c r="S49" i="4"/>
  <c r="S50" i="4"/>
  <c r="S51" i="4"/>
  <c r="S52" i="4"/>
  <c r="S53" i="4"/>
  <c r="S54" i="4"/>
  <c r="S57" i="4"/>
  <c r="S58" i="4"/>
  <c r="S59" i="4"/>
  <c r="S62" i="4"/>
  <c r="S63" i="4"/>
  <c r="S65" i="4"/>
  <c r="S68" i="4"/>
  <c r="S69" i="4"/>
  <c r="S71" i="4"/>
  <c r="S72" i="4"/>
  <c r="S74" i="4"/>
  <c r="S75" i="4"/>
  <c r="S78" i="4"/>
  <c r="S79" i="4"/>
  <c r="S80" i="4"/>
  <c r="S82" i="4"/>
  <c r="S83" i="4"/>
  <c r="S88" i="4"/>
  <c r="S89" i="4"/>
  <c r="S90" i="4"/>
  <c r="S91" i="4"/>
  <c r="S92" i="4"/>
  <c r="S94" i="4"/>
  <c r="S95" i="4"/>
  <c r="S96" i="4"/>
  <c r="S98" i="4"/>
  <c r="S99" i="4"/>
  <c r="S102" i="4"/>
  <c r="S104" i="4"/>
  <c r="S106" i="4"/>
  <c r="Q100" i="4" l="1"/>
  <c r="R104" i="4"/>
  <c r="R96" i="4"/>
  <c r="R88" i="4"/>
  <c r="R80" i="4"/>
  <c r="R72" i="4"/>
  <c r="R64" i="4"/>
  <c r="S64" i="4" s="1"/>
  <c r="R56" i="4"/>
  <c r="S56" i="4" s="1"/>
  <c r="R48" i="4"/>
  <c r="S48" i="4" s="1"/>
  <c r="R40" i="4"/>
  <c r="R3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70C2E3-54BA-4449-88ED-87DD5E331EFD}" keepAlive="1" name="Consulta - emergency_results" description="Conexión a la consulta 'emergency_results' en el libro." type="5" refreshedVersion="8" background="1" saveData="1">
    <dbPr connection="Provider=Microsoft.Mashup.OleDb.1;Data Source=$Workbook$;Location=emergency_results;Extended Properties=&quot;&quot;" command="SELECT * FROM [emergency_results]"/>
  </connection>
  <connection id="2" xr16:uid="{629271AA-F485-4FE4-8830-7CEA88F67512}" keepAlive="1" name="Consulta - emergency_results (2)" description="Conexión a la consulta 'emergency_results (2)' en el libro." type="5" refreshedVersion="8" background="1" refreshOnLoad="1" saveData="1">
    <dbPr connection="Provider=Microsoft.Mashup.OleDb.1;Data Source=$Workbook$;Location=&quot;emergency_results (2)&quot;;Extended Properties=&quot;&quot;" command="SELECT * FROM [emergency_results (2)]"/>
  </connection>
</connections>
</file>

<file path=xl/sharedStrings.xml><?xml version="1.0" encoding="utf-8"?>
<sst xmlns="http://schemas.openxmlformats.org/spreadsheetml/2006/main" count="337" uniqueCount="30">
  <si>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</si>
  <si>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</si>
  <si>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</si>
  <si>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</si>
  <si>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</si>
  <si>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</si>
  <si>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</si>
  <si>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</si>
  <si>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</si>
  <si>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</si>
  <si>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</si>
  <si>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inteligente</t>
  </si>
  <si>
    <t>238829520</t>
  </si>
  <si>
    <t>136832095#0</t>
  </si>
  <si>
    <t>base</t>
  </si>
  <si>
    <t>305412101#0</t>
  </si>
  <si>
    <t>815856980</t>
  </si>
  <si>
    <t>423876764#0</t>
  </si>
  <si>
    <t>71270642#0</t>
  </si>
  <si>
    <t>854461433</t>
  </si>
  <si>
    <t>5990070#1</t>
  </si>
  <si>
    <t>5989317</t>
  </si>
  <si>
    <t>reduccion_tiempo_%</t>
  </si>
  <si>
    <t>ESCENARIO</t>
  </si>
  <si>
    <t>OBSERVACIONES</t>
  </si>
  <si>
    <t>tiempo_viaje_min</t>
  </si>
  <si>
    <t>velocidad_media_km/h</t>
  </si>
  <si>
    <t>distancia_km</t>
  </si>
  <si>
    <t>tiempo_base_ref</t>
  </si>
  <si>
    <t>reduccion_tiempo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</si>
</sst>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"/>
    <numFmt numFmtId="165" formatCode="0.0000"/>
    <numFmt numFmtId="166" formatCode="[m]&quot; min &quot;ss&quot; s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3" xfId="0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2" fontId="0" fillId="2" borderId="3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6" xfId="0" applyBorder="1"/>
    <xf numFmtId="0" fontId="0" fillId="0" borderId="5" xfId="0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2" fontId="0" fillId="0" borderId="5" xfId="0" applyNumberFormat="1" applyBorder="1" applyAlignment="1">
      <alignment horizontal="left" vertical="center"/>
    </xf>
    <xf numFmtId="165" fontId="0" fillId="0" borderId="5" xfId="0" applyNumberFormat="1" applyBorder="1" applyAlignment="1">
      <alignment horizontal="left" vertical="center"/>
    </xf>
    <xf numFmtId="0" fontId="0" fillId="2" borderId="9" xfId="0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5" fontId="0" fillId="2" borderId="3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6" fontId="0" fillId="0" borderId="5" xfId="0" applyNumberFormat="1" applyBorder="1" applyAlignment="1">
      <alignment horizontal="left" vertical="center"/>
    </xf>
    <xf numFmtId="166" fontId="0" fillId="2" borderId="3" xfId="0" applyNumberFormat="1" applyFill="1" applyBorder="1" applyAlignment="1">
      <alignment horizontal="center" vertical="center"/>
    </xf>
    <xf numFmtId="166" fontId="0" fillId="2" borderId="1" xfId="0" applyNumberFormat="1" applyFill="1" applyBorder="1" applyAlignment="1">
      <alignment horizontal="center" vertical="center"/>
    </xf>
    <xf numFmtId="166" fontId="0" fillId="2" borderId="9" xfId="0" applyNumberForma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10" fontId="0" fillId="0" borderId="12" xfId="0" applyNumberFormat="1" applyBorder="1" applyAlignment="1">
      <alignment horizontal="left" vertical="center"/>
    </xf>
    <xf numFmtId="10" fontId="0" fillId="2" borderId="11" xfId="0" applyNumberFormat="1" applyFill="1" applyBorder="1" applyAlignment="1">
      <alignment horizontal="center" vertical="center"/>
    </xf>
    <xf numFmtId="10" fontId="0" fillId="0" borderId="11" xfId="0" applyNumberFormat="1" applyBorder="1"/>
    <xf numFmtId="10" fontId="0" fillId="2" borderId="1" xfId="0" applyNumberFormat="1" applyFill="1" applyBorder="1" applyAlignment="1">
      <alignment horizontal="center" vertical="center"/>
    </xf>
    <xf numFmtId="10" fontId="0" fillId="2" borderId="3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0" fillId="2" borderId="2" xfId="0" applyNumberFormat="1" applyFill="1" applyBorder="1" applyAlignment="1">
      <alignment horizontal="center" vertical="center"/>
    </xf>
    <xf numFmtId="0" fontId="0" fillId="2" borderId="4" xfId="0" applyNumberFormat="1" applyFill="1" applyBorder="1" applyAlignment="1">
      <alignment horizontal="center" vertical="center"/>
    </xf>
    <xf numFmtId="0" fontId="0" fillId="2" borderId="8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3" xfId="0" applyNumberFormat="1" applyFill="1" applyBorder="1" applyAlignment="1">
      <alignment horizontal="center" vertical="center"/>
    </xf>
    <xf numFmtId="0" fontId="0" fillId="2" borderId="9" xfId="0" applyNumberFormat="1" applyFill="1" applyBorder="1" applyAlignment="1">
      <alignment horizontal="center" vertical="center"/>
    </xf>
  </cellXfs>
  <cellStyles count="1">
    <cellStyle name="Normal" xfId="0" builtinId="0"/>
  </cellStyles>
  <dxfs count="26"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5" formatCode="0.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0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0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2" xr16:uid="{304AE9DB-D311-4D24-BA19-AD744E463450}" autoFormatId="16" applyNumberFormats="0" applyBorderFormats="0" applyFontFormats="0" applyPatternFormats="0" applyAlignmentFormats="0" applyWidthHeightFormats="0">
  <queryTableRefresh nextId="20" unboundColumnsRight="8">
    <queryTableFields count="19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4788C-005D-4C59-89D5-96CEC819A536}" name="emergency_results__2" displayName="emergency_results__2" ref="A1:S107" tableType="queryTable" totalsRowShown="0" headerRowDxfId="25" dataDxfId="23" headerRowBorderDxfId="24">
  <autoFilter ref="A1:S107" xr:uid="{7184788C-005D-4C59-89D5-96CEC819A53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BCE7A959-85F0-43AB-8D1D-00DB36611938}" uniqueName="1" name="mode" queryTableFieldId="1" dataDxfId="18"/>
    <tableColumn id="2" xr3:uid="{B955C80C-230A-415A-AB96-D3E558BD7F58}" uniqueName="2" name="from_edge" queryTableFieldId="2" dataDxfId="17"/>
    <tableColumn id="3" xr3:uid="{89334142-D77F-4706-9449-751AEDB643CD}" uniqueName="3" name="to_edge" queryTableFieldId="3" dataDxfId="16"/>
    <tableColumn id="4" xr3:uid="{ADEA8820-3E5F-42D7-8F02-0186CE57F0F6}" uniqueName="4" name="depart_time_s" queryTableFieldId="4" dataDxfId="15"/>
    <tableColumn id="5" xr3:uid="{B4AE2E94-B50C-47EB-A1C1-E42C1EF3E2E7}" uniqueName="5" name="arrival_time_s" queryTableFieldId="5" dataDxfId="14"/>
    <tableColumn id="6" xr3:uid="{6305400F-E506-4F91-914E-3C9993CD3817}" uniqueName="6" name="travel_time_s" queryTableFieldId="6" dataDxfId="13"/>
    <tableColumn id="7" xr3:uid="{524930DB-7117-496F-8856-038348338D3C}" uniqueName="7" name="waiting_time_s" queryTableFieldId="7" dataDxfId="12"/>
    <tableColumn id="8" xr3:uid="{F09D2442-A025-44A6-9D36-35634E451D43}" uniqueName="8" name="avg_speed_m_s" queryTableFieldId="8" dataDxfId="11"/>
    <tableColumn id="9" xr3:uid="{9F04D2DB-E967-485E-97B2-EF3EFD5D13B0}" uniqueName="9" name="distance_m" queryTableFieldId="9" dataDxfId="10"/>
    <tableColumn id="10" xr3:uid="{82179579-3B95-4788-BA6B-A55D095EFCA9}" uniqueName="10" name="tls_actions" queryTableFieldId="10" dataDxfId="9"/>
    <tableColumn id="11" xr3:uid="{48E7A228-08F6-4FF6-9ABB-877F33541704}" uniqueName="11" name="arrived" queryTableFieldId="11" dataDxfId="8"/>
    <tableColumn id="12" xr3:uid="{3EB8E6C0-B492-42D3-911E-3C2C17A55C73}" uniqueName="12" name="ESCENARIO" queryTableFieldId="12" dataDxfId="7">
      <calculatedColumnFormula>B2&amp;" -&gt; "&amp;C2&amp;" | t="&amp;D2</calculatedColumnFormula>
    </tableColumn>
    <tableColumn id="13" xr3:uid="{650BB852-AD9A-46F3-BDFD-9E7F7F6356B3}" uniqueName="13" name="tiempo_viaje_min" queryTableFieldId="13" dataDxfId="6">
      <calculatedColumnFormula>INT(F2/60)&amp;" min "&amp;TEXT(MOD(F2,60),"00")&amp;" s"</calculatedColumnFormula>
    </tableColumn>
    <tableColumn id="14" xr3:uid="{F9734D9D-61FD-41E0-A89C-9281A76E8552}" uniqueName="14" name="velocidad_media_km/h" queryTableFieldId="14" dataDxfId="5">
      <calculatedColumnFormula>H2*3.6</calculatedColumnFormula>
    </tableColumn>
    <tableColumn id="15" xr3:uid="{BCB30D9D-87BE-4BF2-8DDE-2FF6DA63EF45}" uniqueName="15" name="distancia_km" queryTableFieldId="15" dataDxfId="4">
      <calculatedColumnFormula>I2/1000</calculatedColumnFormula>
    </tableColumn>
    <tableColumn id="16" xr3:uid="{FB17C9B0-36C8-4D5B-A918-EF8569CC2D09}" uniqueName="16" name="tiempo_base_ref" queryTableFieldId="16" dataDxfId="3">
      <calculatedColumnFormula>IFERROR(AVERAGEIFS($F:$F,$A:$A,"base",$B:$B,B2,$C:$C,C2,$D:$D,D2,$K:$K,"VERDADERO")/86400,"")</calculatedColumnFormula>
    </tableColumn>
    <tableColumn id="17" xr3:uid="{3A651A3D-D26D-4E89-A82C-DA00B89C2A02}" uniqueName="17" name="reduccion_tiempo" queryTableFieldId="17" dataDxfId="2">
      <calculatedColumnFormula>IF(OR(A2&lt;&gt;"inteligente",K2&lt;&gt;TRUE,P2=""),"",IF(P2-F2/86400&lt;0,"-","")&amp;INT(ABS(P2-F2/86400)*1440)&amp;" min "&amp;TEXT(MOD(ABS(P2-F2/86400)*86400,60),"00")&amp;" s")</calculatedColumnFormula>
    </tableColumn>
    <tableColumn id="18" xr3:uid="{907EF8AD-070D-4589-ABCC-00F1C4B74C9D}" uniqueName="18" name="reduccion_tiempo_%" queryTableFieldId="18" dataDxfId="1">
      <calculatedColumnFormula>IF(OR(A2&lt;&gt;"inteligente",K2&lt;&gt;TRUE,P2=""),"",(P2-F2/86400)/P2)</calculatedColumnFormula>
    </tableColumn>
    <tableColumn id="19" xr3:uid="{E67AC8FE-6265-44CD-8DF3-D22CD6462481}" uniqueName="19" name="OBSERVACIONES" queryTableFieldId="19" dataDxfId="0">
      <calculatedColumnFormula>IF(K2&lt;&gt;TRUE,"No llega",IF(A2="base","Referencia",IF(R2="","Sin referencia",IF(R2&gt;0,"Mejora",IF(R2&lt;0,"Empeora","Igual")))))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4999D-7A3D-488C-B422-E8CCC6DD41F6}">
  <dimension ref="A1:S528"/>
  <sheetViews>
    <sheetView tabSelected="1" topLeftCell="G92" zoomScaleNormal="100" workbookViewId="0">
      <selection activeCell="G16" sqref="G16"/>
    </sheetView>
  </sheetViews>
  <sheetFormatPr baseColWidth="10" defaultRowHeight="14.4" x14ac:dyDescent="0.3"/>
  <cols>
    <col min="1" max="1" width="9.5546875" style="8" bestFit="1" customWidth="1"/>
    <col min="2" max="2" width="12.44140625" style="8" bestFit="1" customWidth="1"/>
    <col min="3" max="3" width="12" style="8" bestFit="1" customWidth="1"/>
    <col min="4" max="4" width="15.33203125" style="8" bestFit="1" customWidth="1"/>
    <col min="5" max="5" width="15" style="8" bestFit="1" customWidth="1"/>
    <col min="6" max="6" width="14.5546875" style="8" bestFit="1" customWidth="1"/>
    <col min="7" max="7" width="15.88671875" style="8" bestFit="1" customWidth="1"/>
    <col min="8" max="8" width="16.6640625" style="8" bestFit="1" customWidth="1"/>
    <col min="9" max="9" width="13.44140625" style="8" bestFit="1" customWidth="1"/>
    <col min="10" max="10" width="12.109375" style="8" bestFit="1" customWidth="1"/>
    <col min="11" max="11" width="11.21875" style="16" bestFit="1" customWidth="1"/>
    <col min="12" max="12" width="32.44140625" style="10" bestFit="1" customWidth="1"/>
    <col min="13" max="13" width="18.5546875" style="4" bestFit="1" customWidth="1"/>
    <col min="14" max="14" width="23.44140625" style="1" bestFit="1" customWidth="1"/>
    <col min="15" max="15" width="14.33203125" style="5" bestFit="1" customWidth="1"/>
    <col min="16" max="16" width="17.44140625" style="31" bestFit="1" customWidth="1"/>
    <col min="17" max="17" width="18.6640625" style="9" bestFit="1" customWidth="1"/>
    <col min="18" max="18" width="21.109375" style="34" bestFit="1" customWidth="1"/>
    <col min="19" max="19" width="17.5546875" style="8" bestFit="1" customWidth="1"/>
  </cols>
  <sheetData>
    <row r="1" spans="1:19" ht="15.6" thickTop="1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8" t="s">
        <v>23</v>
      </c>
      <c r="M1" s="19" t="s">
        <v>25</v>
      </c>
      <c r="N1" s="19" t="s">
        <v>26</v>
      </c>
      <c r="O1" s="20" t="s">
        <v>27</v>
      </c>
      <c r="P1" s="27" t="s">
        <v>28</v>
      </c>
      <c r="Q1" s="19" t="s">
        <v>29</v>
      </c>
      <c r="R1" s="32" t="s">
        <v>22</v>
      </c>
      <c r="S1" s="19" t="s">
        <v>24</v>
      </c>
    </row>
    <row r="2" spans="1:19" ht="15" thickTop="1" x14ac:dyDescent="0.3">
      <c r="A2" s="39" t="s">
        <v>11</v>
      </c>
      <c r="B2" s="42" t="s">
        <v>12</v>
      </c>
      <c r="C2" s="42" t="s">
        <v>13</v>
      </c>
      <c r="D2" s="11">
        <v>600</v>
      </c>
      <c r="E2" s="11">
        <v>1800</v>
      </c>
      <c r="F2" s="11">
        <v>1740</v>
      </c>
      <c r="G2" s="11">
        <v>0</v>
      </c>
      <c r="H2" s="12">
        <v>11.80502647</v>
      </c>
      <c r="I2" s="12">
        <v>979.81700000000001</v>
      </c>
      <c r="J2" s="11">
        <v>3</v>
      </c>
      <c r="K2" s="14" t="b">
        <v>0</v>
      </c>
      <c r="L2" s="42" t="str">
        <f t="shared" ref="L2:L33" si="0">B2&amp;" -&gt; "&amp;C2&amp;" | t="&amp;D2</f>
        <v>238829520 -&gt; 136832095#0 | t=600</v>
      </c>
      <c r="M2" s="13" t="str">
        <f t="shared" ref="M2:M33" si="1">INT(F2/60)&amp;" min "&amp;TEXT(MOD(F2,60),"00")&amp;" s"</f>
        <v>29 min 00 s</v>
      </c>
      <c r="N2" s="13">
        <f t="shared" ref="N2:N33" si="2">H2*3.6</f>
        <v>42.498095292000002</v>
      </c>
      <c r="O2" s="25">
        <f t="shared" ref="O2:O33" si="3">I2/1000</f>
        <v>0.97981700000000005</v>
      </c>
      <c r="P2" s="28">
        <f t="shared" ref="P2:P33" si="4">IFERROR(AVERAGEIFS($F:$F,$A:$A,"base",$B:$B,B2,$C:$C,C2,$D:$D,D2,$K:$K,"VERDADERO")/86400,"")</f>
        <v>1.0532407407407407E-3</v>
      </c>
      <c r="Q2" s="42" t="str">
        <f t="shared" ref="Q2:Q33" si="5">IF(OR(A2&lt;&gt;"inteligente",K2&lt;&gt;TRUE,P2=""),"",IF(P2-F2/86400&lt;0,"-","")&amp;INT(ABS(P2-F2/86400)*1440)&amp;" min "&amp;TEXT(MOD(ABS(P2-F2/86400)*86400,60),"00")&amp;" s")</f>
        <v/>
      </c>
      <c r="R2" s="36" t="str">
        <f t="shared" ref="R2:R33" si="6">IF(OR(A2&lt;&gt;"inteligente",K2&lt;&gt;TRUE,P2=""),"",(P2-F2/86400)/P2)</f>
        <v/>
      </c>
      <c r="S2" s="13" t="str">
        <f t="shared" ref="S2:S33" si="7">IF(K2&lt;&gt;TRUE,"No llega",IF(A2="base","Referencia",IF(R2="","Sin referencia",IF(R2&gt;0,"Mejora",IF(R2&lt;0,"Empeora","Igual")))))</f>
        <v>No llega</v>
      </c>
    </row>
    <row r="3" spans="1:19" x14ac:dyDescent="0.3">
      <c r="A3" s="38" t="s">
        <v>11</v>
      </c>
      <c r="B3" s="41" t="s">
        <v>12</v>
      </c>
      <c r="C3" s="41" t="s">
        <v>13</v>
      </c>
      <c r="D3" s="2">
        <v>600</v>
      </c>
      <c r="E3" s="2">
        <v>1800</v>
      </c>
      <c r="F3" s="2">
        <v>1740</v>
      </c>
      <c r="G3" s="2">
        <v>0</v>
      </c>
      <c r="H3" s="3">
        <v>11.80502647</v>
      </c>
      <c r="I3" s="3">
        <v>979.81700000000001</v>
      </c>
      <c r="J3" s="2">
        <v>3</v>
      </c>
      <c r="K3" s="15" t="b">
        <v>0</v>
      </c>
      <c r="L3" s="41" t="str">
        <f t="shared" si="0"/>
        <v>238829520 -&gt; 136832095#0 | t=600</v>
      </c>
      <c r="M3" s="6" t="str">
        <f t="shared" si="1"/>
        <v>29 min 00 s</v>
      </c>
      <c r="N3" s="6">
        <f t="shared" si="2"/>
        <v>42.498095292000002</v>
      </c>
      <c r="O3" s="7">
        <f t="shared" si="3"/>
        <v>0.97981700000000005</v>
      </c>
      <c r="P3" s="29">
        <f t="shared" si="4"/>
        <v>1.0532407407407407E-3</v>
      </c>
      <c r="Q3" s="41" t="str">
        <f t="shared" si="5"/>
        <v/>
      </c>
      <c r="R3" s="35" t="str">
        <f t="shared" si="6"/>
        <v/>
      </c>
      <c r="S3" s="6" t="str">
        <f t="shared" si="7"/>
        <v>No llega</v>
      </c>
    </row>
    <row r="4" spans="1:19" x14ac:dyDescent="0.3">
      <c r="A4" s="38" t="s">
        <v>14</v>
      </c>
      <c r="B4" s="41" t="s">
        <v>12</v>
      </c>
      <c r="C4" s="41" t="s">
        <v>13</v>
      </c>
      <c r="D4" s="2">
        <v>600</v>
      </c>
      <c r="E4" s="2">
        <v>1800</v>
      </c>
      <c r="F4" s="2">
        <v>1740</v>
      </c>
      <c r="G4" s="2">
        <v>0</v>
      </c>
      <c r="H4" s="3">
        <v>8.1192688700000009</v>
      </c>
      <c r="I4" s="3">
        <v>978.49599999999998</v>
      </c>
      <c r="J4" s="2">
        <v>0</v>
      </c>
      <c r="K4" s="15" t="b">
        <v>0</v>
      </c>
      <c r="L4" s="41" t="str">
        <f t="shared" si="0"/>
        <v>238829520 -&gt; 136832095#0 | t=600</v>
      </c>
      <c r="M4" s="6" t="str">
        <f t="shared" si="1"/>
        <v>29 min 00 s</v>
      </c>
      <c r="N4" s="6">
        <f t="shared" si="2"/>
        <v>29.229367932000002</v>
      </c>
      <c r="O4" s="7">
        <f t="shared" si="3"/>
        <v>0.97849600000000003</v>
      </c>
      <c r="P4" s="29">
        <f t="shared" si="4"/>
        <v>1.0532407407407407E-3</v>
      </c>
      <c r="Q4" s="41" t="str">
        <f t="shared" si="5"/>
        <v/>
      </c>
      <c r="R4" s="35" t="str">
        <f t="shared" si="6"/>
        <v/>
      </c>
      <c r="S4" s="6" t="str">
        <f t="shared" si="7"/>
        <v>No llega</v>
      </c>
    </row>
    <row r="5" spans="1:19" x14ac:dyDescent="0.3">
      <c r="A5" s="38" t="s">
        <v>11</v>
      </c>
      <c r="B5" s="41" t="s">
        <v>12</v>
      </c>
      <c r="C5" s="41" t="s">
        <v>13</v>
      </c>
      <c r="D5" s="2">
        <v>600</v>
      </c>
      <c r="E5" s="2">
        <v>146</v>
      </c>
      <c r="F5" s="2">
        <v>86</v>
      </c>
      <c r="G5" s="2">
        <v>0</v>
      </c>
      <c r="H5" s="3">
        <v>11.80502647</v>
      </c>
      <c r="I5" s="3">
        <v>979.81700000000001</v>
      </c>
      <c r="J5" s="2">
        <v>3</v>
      </c>
      <c r="K5" s="15" t="b">
        <v>1</v>
      </c>
      <c r="L5" s="41" t="str">
        <f t="shared" si="0"/>
        <v>238829520 -&gt; 136832095#0 | t=600</v>
      </c>
      <c r="M5" s="6" t="str">
        <f t="shared" si="1"/>
        <v>1 min 26 s</v>
      </c>
      <c r="N5" s="6">
        <f t="shared" si="2"/>
        <v>42.498095292000002</v>
      </c>
      <c r="O5" s="7">
        <f t="shared" si="3"/>
        <v>0.97981700000000005</v>
      </c>
      <c r="P5" s="29">
        <f t="shared" si="4"/>
        <v>1.0532407407407407E-3</v>
      </c>
      <c r="Q5" s="41" t="str">
        <f t="shared" si="5"/>
        <v>0 min 05 s</v>
      </c>
      <c r="R5" s="35">
        <f t="shared" si="6"/>
        <v>5.4945054945054826E-2</v>
      </c>
      <c r="S5" s="6" t="str">
        <f t="shared" si="7"/>
        <v>Mejora</v>
      </c>
    </row>
    <row r="6" spans="1:19" x14ac:dyDescent="0.3">
      <c r="A6" s="38" t="s">
        <v>14</v>
      </c>
      <c r="B6" s="41" t="s">
        <v>12</v>
      </c>
      <c r="C6" s="41" t="s">
        <v>13</v>
      </c>
      <c r="D6" s="2">
        <v>600</v>
      </c>
      <c r="E6" s="2">
        <v>151</v>
      </c>
      <c r="F6" s="2">
        <v>91</v>
      </c>
      <c r="G6" s="2">
        <v>0</v>
      </c>
      <c r="H6" s="3">
        <v>8.1192688700000009</v>
      </c>
      <c r="I6" s="3">
        <v>978.49599999999998</v>
      </c>
      <c r="J6" s="2">
        <v>0</v>
      </c>
      <c r="K6" s="15" t="b">
        <v>1</v>
      </c>
      <c r="L6" s="41" t="str">
        <f t="shared" si="0"/>
        <v>238829520 -&gt; 136832095#0 | t=600</v>
      </c>
      <c r="M6" s="6" t="str">
        <f t="shared" si="1"/>
        <v>1 min 31 s</v>
      </c>
      <c r="N6" s="6">
        <f t="shared" si="2"/>
        <v>29.229367932000002</v>
      </c>
      <c r="O6" s="7">
        <f t="shared" si="3"/>
        <v>0.97849600000000003</v>
      </c>
      <c r="P6" s="29">
        <f t="shared" si="4"/>
        <v>1.0532407407407407E-3</v>
      </c>
      <c r="Q6" s="41" t="str">
        <f t="shared" si="5"/>
        <v/>
      </c>
      <c r="R6" s="35" t="str">
        <f t="shared" si="6"/>
        <v/>
      </c>
      <c r="S6" s="6" t="str">
        <f t="shared" si="7"/>
        <v>Referencia</v>
      </c>
    </row>
    <row r="7" spans="1:19" x14ac:dyDescent="0.3">
      <c r="A7" s="38" t="s">
        <v>14</v>
      </c>
      <c r="B7" s="41" t="s">
        <v>12</v>
      </c>
      <c r="C7" s="41" t="s">
        <v>13</v>
      </c>
      <c r="D7" s="2">
        <v>600</v>
      </c>
      <c r="E7" s="2">
        <v>151</v>
      </c>
      <c r="F7" s="2">
        <v>91</v>
      </c>
      <c r="G7" s="2">
        <v>0</v>
      </c>
      <c r="H7" s="3">
        <v>8.1192688700000009</v>
      </c>
      <c r="I7" s="3">
        <v>978.49599999999998</v>
      </c>
      <c r="J7" s="2">
        <v>0</v>
      </c>
      <c r="K7" s="15" t="b">
        <v>1</v>
      </c>
      <c r="L7" s="41" t="str">
        <f t="shared" si="0"/>
        <v>238829520 -&gt; 136832095#0 | t=600</v>
      </c>
      <c r="M7" s="6" t="str">
        <f t="shared" si="1"/>
        <v>1 min 31 s</v>
      </c>
      <c r="N7" s="6">
        <f t="shared" si="2"/>
        <v>29.229367932000002</v>
      </c>
      <c r="O7" s="7">
        <f t="shared" si="3"/>
        <v>0.97849600000000003</v>
      </c>
      <c r="P7" s="29">
        <f t="shared" si="4"/>
        <v>1.0532407407407407E-3</v>
      </c>
      <c r="Q7" s="41" t="str">
        <f t="shared" si="5"/>
        <v/>
      </c>
      <c r="R7" s="35" t="str">
        <f t="shared" si="6"/>
        <v/>
      </c>
      <c r="S7" s="6" t="str">
        <f t="shared" si="7"/>
        <v>Referencia</v>
      </c>
    </row>
    <row r="8" spans="1:19" x14ac:dyDescent="0.3">
      <c r="A8" s="38" t="s">
        <v>14</v>
      </c>
      <c r="B8" s="41" t="s">
        <v>12</v>
      </c>
      <c r="C8" s="41" t="s">
        <v>13</v>
      </c>
      <c r="D8" s="2">
        <v>600</v>
      </c>
      <c r="E8" s="2">
        <v>151</v>
      </c>
      <c r="F8" s="2">
        <v>91</v>
      </c>
      <c r="G8" s="2">
        <v>0</v>
      </c>
      <c r="H8" s="3">
        <v>8.1192688700000009</v>
      </c>
      <c r="I8" s="3">
        <v>978.49599999999998</v>
      </c>
      <c r="J8" s="2">
        <v>0</v>
      </c>
      <c r="K8" s="15" t="b">
        <v>1</v>
      </c>
      <c r="L8" s="41" t="str">
        <f t="shared" si="0"/>
        <v>238829520 -&gt; 136832095#0 | t=600</v>
      </c>
      <c r="M8" s="6" t="str">
        <f t="shared" si="1"/>
        <v>1 min 31 s</v>
      </c>
      <c r="N8" s="6">
        <f t="shared" si="2"/>
        <v>29.229367932000002</v>
      </c>
      <c r="O8" s="7">
        <f t="shared" si="3"/>
        <v>0.97849600000000003</v>
      </c>
      <c r="P8" s="29">
        <f t="shared" si="4"/>
        <v>1.0532407407407407E-3</v>
      </c>
      <c r="Q8" s="41" t="str">
        <f t="shared" si="5"/>
        <v/>
      </c>
      <c r="R8" s="35" t="str">
        <f t="shared" si="6"/>
        <v/>
      </c>
      <c r="S8" s="6" t="str">
        <f t="shared" si="7"/>
        <v>Referencia</v>
      </c>
    </row>
    <row r="9" spans="1:19" x14ac:dyDescent="0.3">
      <c r="A9" s="38" t="s">
        <v>14</v>
      </c>
      <c r="B9" s="41" t="s">
        <v>12</v>
      </c>
      <c r="C9" s="41" t="s">
        <v>13</v>
      </c>
      <c r="D9" s="2">
        <v>600</v>
      </c>
      <c r="E9" s="2">
        <v>151</v>
      </c>
      <c r="F9" s="2">
        <v>91</v>
      </c>
      <c r="G9" s="2">
        <v>0</v>
      </c>
      <c r="H9" s="3">
        <v>8.1192688700000009</v>
      </c>
      <c r="I9" s="3">
        <v>978.49599999999998</v>
      </c>
      <c r="J9" s="2">
        <v>0</v>
      </c>
      <c r="K9" s="15" t="b">
        <v>1</v>
      </c>
      <c r="L9" s="41" t="str">
        <f t="shared" si="0"/>
        <v>238829520 -&gt; 136832095#0 | t=600</v>
      </c>
      <c r="M9" s="6" t="str">
        <f t="shared" si="1"/>
        <v>1 min 31 s</v>
      </c>
      <c r="N9" s="6">
        <f t="shared" si="2"/>
        <v>29.229367932000002</v>
      </c>
      <c r="O9" s="7">
        <f t="shared" si="3"/>
        <v>0.97849600000000003</v>
      </c>
      <c r="P9" s="29">
        <f t="shared" si="4"/>
        <v>1.0532407407407407E-3</v>
      </c>
      <c r="Q9" s="41" t="str">
        <f t="shared" si="5"/>
        <v/>
      </c>
      <c r="R9" s="35" t="str">
        <f t="shared" si="6"/>
        <v/>
      </c>
      <c r="S9" s="6" t="str">
        <f t="shared" si="7"/>
        <v>Referencia</v>
      </c>
    </row>
    <row r="10" spans="1:19" x14ac:dyDescent="0.3">
      <c r="A10" s="38" t="s">
        <v>11</v>
      </c>
      <c r="B10" s="41" t="s">
        <v>12</v>
      </c>
      <c r="C10" s="41" t="s">
        <v>13</v>
      </c>
      <c r="D10" s="2">
        <v>600</v>
      </c>
      <c r="E10" s="2">
        <v>146</v>
      </c>
      <c r="F10" s="2">
        <v>86</v>
      </c>
      <c r="G10" s="2">
        <v>0</v>
      </c>
      <c r="H10" s="3">
        <v>11.80502647</v>
      </c>
      <c r="I10" s="3">
        <v>979.81700000000001</v>
      </c>
      <c r="J10" s="2">
        <v>3</v>
      </c>
      <c r="K10" s="15" t="b">
        <v>1</v>
      </c>
      <c r="L10" s="41" t="str">
        <f t="shared" si="0"/>
        <v>238829520 -&gt; 136832095#0 | t=600</v>
      </c>
      <c r="M10" s="6" t="str">
        <f t="shared" si="1"/>
        <v>1 min 26 s</v>
      </c>
      <c r="N10" s="6">
        <f t="shared" si="2"/>
        <v>42.498095292000002</v>
      </c>
      <c r="O10" s="7">
        <f t="shared" si="3"/>
        <v>0.97981700000000005</v>
      </c>
      <c r="P10" s="29">
        <f t="shared" si="4"/>
        <v>1.0532407407407407E-3</v>
      </c>
      <c r="Q10" s="41" t="str">
        <f t="shared" si="5"/>
        <v>0 min 05 s</v>
      </c>
      <c r="R10" s="35">
        <f t="shared" si="6"/>
        <v>5.4945054945054826E-2</v>
      </c>
      <c r="S10" s="6" t="str">
        <f t="shared" si="7"/>
        <v>Mejora</v>
      </c>
    </row>
    <row r="11" spans="1:19" x14ac:dyDescent="0.3">
      <c r="A11" s="38" t="s">
        <v>14</v>
      </c>
      <c r="B11" s="41" t="s">
        <v>15</v>
      </c>
      <c r="C11" s="41" t="s">
        <v>16</v>
      </c>
      <c r="D11" s="2">
        <v>600</v>
      </c>
      <c r="E11" s="2">
        <v>97</v>
      </c>
      <c r="F11" s="2">
        <v>37</v>
      </c>
      <c r="G11" s="2">
        <v>0</v>
      </c>
      <c r="H11" s="3">
        <v>9.6042150900000003</v>
      </c>
      <c r="I11" s="3">
        <v>345.75200000000001</v>
      </c>
      <c r="J11" s="2">
        <v>0</v>
      </c>
      <c r="K11" s="15" t="b">
        <v>1</v>
      </c>
      <c r="L11" s="41" t="str">
        <f t="shared" si="0"/>
        <v>305412101#0 -&gt; 815856980 | t=600</v>
      </c>
      <c r="M11" s="6" t="str">
        <f t="shared" si="1"/>
        <v>0 min 37 s</v>
      </c>
      <c r="N11" s="6">
        <f t="shared" si="2"/>
        <v>34.575174324000002</v>
      </c>
      <c r="O11" s="7">
        <f t="shared" si="3"/>
        <v>0.345752</v>
      </c>
      <c r="P11" s="29">
        <f t="shared" si="4"/>
        <v>4.2824074074074075E-4</v>
      </c>
      <c r="Q11" s="41" t="str">
        <f t="shared" si="5"/>
        <v/>
      </c>
      <c r="R11" s="35" t="str">
        <f t="shared" si="6"/>
        <v/>
      </c>
      <c r="S11" s="6" t="str">
        <f t="shared" si="7"/>
        <v>Referencia</v>
      </c>
    </row>
    <row r="12" spans="1:19" x14ac:dyDescent="0.3">
      <c r="A12" s="38" t="s">
        <v>14</v>
      </c>
      <c r="B12" s="41" t="s">
        <v>15</v>
      </c>
      <c r="C12" s="41" t="s">
        <v>16</v>
      </c>
      <c r="D12" s="2">
        <v>600</v>
      </c>
      <c r="E12" s="2">
        <v>97</v>
      </c>
      <c r="F12" s="2">
        <v>37</v>
      </c>
      <c r="G12" s="2">
        <v>0</v>
      </c>
      <c r="H12" s="3">
        <v>9.6042150900000003</v>
      </c>
      <c r="I12" s="3">
        <v>345.75200000000001</v>
      </c>
      <c r="J12" s="2">
        <v>0</v>
      </c>
      <c r="K12" s="15" t="b">
        <v>1</v>
      </c>
      <c r="L12" s="41" t="str">
        <f t="shared" si="0"/>
        <v>305412101#0 -&gt; 815856980 | t=600</v>
      </c>
      <c r="M12" s="6" t="str">
        <f t="shared" si="1"/>
        <v>0 min 37 s</v>
      </c>
      <c r="N12" s="6">
        <f t="shared" si="2"/>
        <v>34.575174324000002</v>
      </c>
      <c r="O12" s="7">
        <f t="shared" si="3"/>
        <v>0.345752</v>
      </c>
      <c r="P12" s="29">
        <f t="shared" si="4"/>
        <v>4.2824074074074075E-4</v>
      </c>
      <c r="Q12" s="41" t="str">
        <f t="shared" si="5"/>
        <v/>
      </c>
      <c r="R12" s="35" t="str">
        <f t="shared" si="6"/>
        <v/>
      </c>
      <c r="S12" s="6" t="str">
        <f t="shared" si="7"/>
        <v>Referencia</v>
      </c>
    </row>
    <row r="13" spans="1:19" x14ac:dyDescent="0.3">
      <c r="A13" s="38" t="s">
        <v>11</v>
      </c>
      <c r="B13" s="41" t="s">
        <v>15</v>
      </c>
      <c r="C13" s="41" t="s">
        <v>16</v>
      </c>
      <c r="D13" s="2">
        <v>600</v>
      </c>
      <c r="E13" s="2">
        <v>90</v>
      </c>
      <c r="F13" s="2">
        <v>30</v>
      </c>
      <c r="G13" s="2">
        <v>0</v>
      </c>
      <c r="H13" s="3">
        <v>11.921892639999999</v>
      </c>
      <c r="I13" s="3">
        <v>345.73500000000001</v>
      </c>
      <c r="J13" s="2">
        <v>2</v>
      </c>
      <c r="K13" s="15" t="b">
        <v>1</v>
      </c>
      <c r="L13" s="41" t="str">
        <f t="shared" si="0"/>
        <v>305412101#0 -&gt; 815856980 | t=600</v>
      </c>
      <c r="M13" s="6" t="str">
        <f t="shared" si="1"/>
        <v>0 min 30 s</v>
      </c>
      <c r="N13" s="6">
        <f t="shared" si="2"/>
        <v>42.918813503999999</v>
      </c>
      <c r="O13" s="7">
        <f t="shared" si="3"/>
        <v>0.34573500000000001</v>
      </c>
      <c r="P13" s="29">
        <f t="shared" si="4"/>
        <v>4.2824074074074075E-4</v>
      </c>
      <c r="Q13" s="41" t="str">
        <f t="shared" si="5"/>
        <v>0 min 07 s</v>
      </c>
      <c r="R13" s="35">
        <f t="shared" si="6"/>
        <v>0.18918918918918917</v>
      </c>
      <c r="S13" s="6" t="str">
        <f t="shared" si="7"/>
        <v>Mejora</v>
      </c>
    </row>
    <row r="14" spans="1:19" x14ac:dyDescent="0.3">
      <c r="A14" s="38" t="s">
        <v>14</v>
      </c>
      <c r="B14" s="41" t="s">
        <v>17</v>
      </c>
      <c r="C14" s="41" t="s">
        <v>13</v>
      </c>
      <c r="D14" s="2">
        <v>600</v>
      </c>
      <c r="E14" s="2">
        <v>146</v>
      </c>
      <c r="F14" s="2">
        <v>86</v>
      </c>
      <c r="G14" s="2">
        <v>0</v>
      </c>
      <c r="H14" s="3">
        <v>11.232707720000001</v>
      </c>
      <c r="I14" s="3">
        <v>954.78</v>
      </c>
      <c r="J14" s="2">
        <v>0</v>
      </c>
      <c r="K14" s="15" t="b">
        <v>1</v>
      </c>
      <c r="L14" s="41" t="str">
        <f t="shared" si="0"/>
        <v>423876764#0 -&gt; 136832095#0 | t=600</v>
      </c>
      <c r="M14" s="6" t="str">
        <f t="shared" si="1"/>
        <v>1 min 26 s</v>
      </c>
      <c r="N14" s="6">
        <f t="shared" si="2"/>
        <v>40.437747792000003</v>
      </c>
      <c r="O14" s="7">
        <f t="shared" si="3"/>
        <v>0.95477999999999996</v>
      </c>
      <c r="P14" s="29">
        <f t="shared" si="4"/>
        <v>9.9537037037037042E-4</v>
      </c>
      <c r="Q14" s="41" t="str">
        <f t="shared" si="5"/>
        <v/>
      </c>
      <c r="R14" s="35" t="str">
        <f t="shared" si="6"/>
        <v/>
      </c>
      <c r="S14" s="6" t="str">
        <f t="shared" si="7"/>
        <v>Referencia</v>
      </c>
    </row>
    <row r="15" spans="1:19" x14ac:dyDescent="0.3">
      <c r="A15" s="38" t="s">
        <v>11</v>
      </c>
      <c r="B15" s="41" t="s">
        <v>17</v>
      </c>
      <c r="C15" s="41" t="s">
        <v>13</v>
      </c>
      <c r="D15" s="2">
        <v>600</v>
      </c>
      <c r="E15" s="2">
        <v>146</v>
      </c>
      <c r="F15" s="2">
        <v>86</v>
      </c>
      <c r="G15" s="2">
        <v>0</v>
      </c>
      <c r="H15" s="3">
        <v>11.232707720000001</v>
      </c>
      <c r="I15" s="3">
        <v>954.78</v>
      </c>
      <c r="J15" s="2">
        <v>1</v>
      </c>
      <c r="K15" s="15" t="b">
        <v>1</v>
      </c>
      <c r="L15" s="41" t="str">
        <f t="shared" si="0"/>
        <v>423876764#0 -&gt; 136832095#0 | t=600</v>
      </c>
      <c r="M15" s="6" t="str">
        <f t="shared" si="1"/>
        <v>1 min 26 s</v>
      </c>
      <c r="N15" s="6">
        <f t="shared" si="2"/>
        <v>40.437747792000003</v>
      </c>
      <c r="O15" s="7">
        <f t="shared" si="3"/>
        <v>0.95477999999999996</v>
      </c>
      <c r="P15" s="29">
        <f t="shared" si="4"/>
        <v>9.9537037037037042E-4</v>
      </c>
      <c r="Q15" s="41" t="str">
        <f t="shared" si="5"/>
        <v>0 min 00 s</v>
      </c>
      <c r="R15" s="35">
        <f t="shared" si="6"/>
        <v>0</v>
      </c>
      <c r="S15" s="6" t="str">
        <f t="shared" si="7"/>
        <v>Igual</v>
      </c>
    </row>
    <row r="16" spans="1:19" x14ac:dyDescent="0.3">
      <c r="A16" s="38" t="s">
        <v>11</v>
      </c>
      <c r="B16" s="41" t="s">
        <v>18</v>
      </c>
      <c r="C16" s="41" t="s">
        <v>19</v>
      </c>
      <c r="D16" s="2">
        <v>600</v>
      </c>
      <c r="E16" s="2">
        <v>481</v>
      </c>
      <c r="F16" s="2">
        <v>421</v>
      </c>
      <c r="G16" s="2">
        <v>0</v>
      </c>
      <c r="H16" s="3">
        <v>23.329087749999999</v>
      </c>
      <c r="I16" s="3">
        <v>1396.93</v>
      </c>
      <c r="J16" s="2">
        <v>6</v>
      </c>
      <c r="K16" s="15" t="b">
        <v>1</v>
      </c>
      <c r="L16" s="41" t="str">
        <f t="shared" si="0"/>
        <v>71270642#0 -&gt; 854461433 | t=600</v>
      </c>
      <c r="M16" s="6" t="str">
        <f t="shared" si="1"/>
        <v>7 min 01 s</v>
      </c>
      <c r="N16" s="6">
        <f t="shared" si="2"/>
        <v>83.984715899999998</v>
      </c>
      <c r="O16" s="7">
        <f t="shared" si="3"/>
        <v>1.39693</v>
      </c>
      <c r="P16" s="29">
        <f t="shared" si="4"/>
        <v>1.7476851851851852E-3</v>
      </c>
      <c r="Q16" s="41" t="str">
        <f t="shared" si="5"/>
        <v>-4 min 30 s</v>
      </c>
      <c r="R16" s="35">
        <f t="shared" si="6"/>
        <v>-1.7880794701986751</v>
      </c>
      <c r="S16" s="6" t="str">
        <f t="shared" si="7"/>
        <v>Empeora</v>
      </c>
    </row>
    <row r="17" spans="1:19" x14ac:dyDescent="0.3">
      <c r="A17" s="38" t="s">
        <v>14</v>
      </c>
      <c r="B17" s="41" t="s">
        <v>18</v>
      </c>
      <c r="C17" s="41" t="s">
        <v>19</v>
      </c>
      <c r="D17" s="2">
        <v>600</v>
      </c>
      <c r="E17" s="2">
        <v>211</v>
      </c>
      <c r="F17" s="2">
        <v>151</v>
      </c>
      <c r="G17" s="2">
        <v>0</v>
      </c>
      <c r="H17" s="3">
        <v>9.3856901100000005</v>
      </c>
      <c r="I17" s="3">
        <v>1407.85</v>
      </c>
      <c r="J17" s="2">
        <v>0</v>
      </c>
      <c r="K17" s="15" t="b">
        <v>1</v>
      </c>
      <c r="L17" s="41" t="str">
        <f t="shared" si="0"/>
        <v>71270642#0 -&gt; 854461433 | t=600</v>
      </c>
      <c r="M17" s="6" t="str">
        <f t="shared" si="1"/>
        <v>2 min 31 s</v>
      </c>
      <c r="N17" s="6">
        <f t="shared" si="2"/>
        <v>33.788484396000001</v>
      </c>
      <c r="O17" s="7">
        <f t="shared" si="3"/>
        <v>1.4078499999999998</v>
      </c>
      <c r="P17" s="29">
        <f t="shared" si="4"/>
        <v>1.7476851851851852E-3</v>
      </c>
      <c r="Q17" s="41" t="str">
        <f t="shared" si="5"/>
        <v/>
      </c>
      <c r="R17" s="35" t="str">
        <f t="shared" si="6"/>
        <v/>
      </c>
      <c r="S17" s="6" t="str">
        <f t="shared" si="7"/>
        <v>Referencia</v>
      </c>
    </row>
    <row r="18" spans="1:19" x14ac:dyDescent="0.3">
      <c r="A18" s="38" t="s">
        <v>14</v>
      </c>
      <c r="B18" s="41" t="s">
        <v>12</v>
      </c>
      <c r="C18" s="41" t="s">
        <v>16</v>
      </c>
      <c r="D18" s="2">
        <v>600</v>
      </c>
      <c r="E18" s="2">
        <v>133</v>
      </c>
      <c r="F18" s="2">
        <v>73</v>
      </c>
      <c r="G18" s="2">
        <v>0</v>
      </c>
      <c r="H18" s="3">
        <v>11.25013438</v>
      </c>
      <c r="I18" s="3">
        <v>788</v>
      </c>
      <c r="J18" s="2">
        <v>0</v>
      </c>
      <c r="K18" s="15" t="b">
        <v>1</v>
      </c>
      <c r="L18" s="41" t="str">
        <f t="shared" si="0"/>
        <v>238829520 -&gt; 815856980 | t=600</v>
      </c>
      <c r="M18" s="6" t="str">
        <f t="shared" si="1"/>
        <v>1 min 13 s</v>
      </c>
      <c r="N18" s="6">
        <f t="shared" si="2"/>
        <v>40.500483768000002</v>
      </c>
      <c r="O18" s="7">
        <f t="shared" si="3"/>
        <v>0.78800000000000003</v>
      </c>
      <c r="P18" s="29">
        <f t="shared" si="4"/>
        <v>8.4490740740740739E-4</v>
      </c>
      <c r="Q18" s="41" t="str">
        <f t="shared" si="5"/>
        <v/>
      </c>
      <c r="R18" s="35" t="str">
        <f t="shared" si="6"/>
        <v/>
      </c>
      <c r="S18" s="6" t="str">
        <f t="shared" si="7"/>
        <v>Referencia</v>
      </c>
    </row>
    <row r="19" spans="1:19" x14ac:dyDescent="0.3">
      <c r="A19" s="38" t="s">
        <v>11</v>
      </c>
      <c r="B19" s="41" t="s">
        <v>12</v>
      </c>
      <c r="C19" s="41" t="s">
        <v>16</v>
      </c>
      <c r="D19" s="2">
        <v>600</v>
      </c>
      <c r="E19" s="2">
        <v>128</v>
      </c>
      <c r="F19" s="2">
        <v>68</v>
      </c>
      <c r="G19" s="2">
        <v>0</v>
      </c>
      <c r="H19" s="3">
        <v>12.10042814</v>
      </c>
      <c r="I19" s="3">
        <v>786.52800000000002</v>
      </c>
      <c r="J19" s="2">
        <v>3</v>
      </c>
      <c r="K19" s="15" t="b">
        <v>1</v>
      </c>
      <c r="L19" s="41" t="str">
        <f t="shared" si="0"/>
        <v>238829520 -&gt; 815856980 | t=600</v>
      </c>
      <c r="M19" s="6" t="str">
        <f t="shared" si="1"/>
        <v>1 min 08 s</v>
      </c>
      <c r="N19" s="6">
        <f t="shared" si="2"/>
        <v>43.561541304000002</v>
      </c>
      <c r="O19" s="7">
        <f t="shared" si="3"/>
        <v>0.786528</v>
      </c>
      <c r="P19" s="29">
        <f t="shared" si="4"/>
        <v>8.4490740740740739E-4</v>
      </c>
      <c r="Q19" s="41" t="str">
        <f t="shared" si="5"/>
        <v>0 min 05 s</v>
      </c>
      <c r="R19" s="35">
        <f t="shared" si="6"/>
        <v>6.8493150684931475E-2</v>
      </c>
      <c r="S19" s="6" t="str">
        <f t="shared" si="7"/>
        <v>Mejora</v>
      </c>
    </row>
    <row r="20" spans="1:19" x14ac:dyDescent="0.3">
      <c r="A20" s="38" t="s">
        <v>14</v>
      </c>
      <c r="B20" s="41" t="s">
        <v>12</v>
      </c>
      <c r="C20" s="41" t="s">
        <v>16</v>
      </c>
      <c r="D20" s="2">
        <v>600</v>
      </c>
      <c r="E20" s="2">
        <v>133</v>
      </c>
      <c r="F20" s="2">
        <v>73</v>
      </c>
      <c r="G20" s="2">
        <v>0</v>
      </c>
      <c r="H20" s="3">
        <v>11.25013438</v>
      </c>
      <c r="I20" s="3">
        <v>787.50900000000001</v>
      </c>
      <c r="J20" s="2">
        <v>0</v>
      </c>
      <c r="K20" s="15" t="b">
        <v>1</v>
      </c>
      <c r="L20" s="41" t="str">
        <f t="shared" si="0"/>
        <v>238829520 -&gt; 815856980 | t=600</v>
      </c>
      <c r="M20" s="6" t="str">
        <f t="shared" si="1"/>
        <v>1 min 13 s</v>
      </c>
      <c r="N20" s="6">
        <f t="shared" si="2"/>
        <v>40.500483768000002</v>
      </c>
      <c r="O20" s="7">
        <f t="shared" si="3"/>
        <v>0.78750900000000001</v>
      </c>
      <c r="P20" s="29">
        <f t="shared" si="4"/>
        <v>8.4490740740740739E-4</v>
      </c>
      <c r="Q20" s="41" t="str">
        <f t="shared" si="5"/>
        <v/>
      </c>
      <c r="R20" s="35" t="str">
        <f t="shared" si="6"/>
        <v/>
      </c>
      <c r="S20" s="6" t="str">
        <f t="shared" si="7"/>
        <v>Referencia</v>
      </c>
    </row>
    <row r="21" spans="1:19" x14ac:dyDescent="0.3">
      <c r="A21" s="38" t="s">
        <v>14</v>
      </c>
      <c r="B21" s="41" t="s">
        <v>12</v>
      </c>
      <c r="C21" s="41" t="s">
        <v>20</v>
      </c>
      <c r="D21" s="2">
        <v>600</v>
      </c>
      <c r="E21" s="2">
        <v>251</v>
      </c>
      <c r="F21" s="2">
        <v>191</v>
      </c>
      <c r="G21" s="2">
        <v>0</v>
      </c>
      <c r="H21" s="3">
        <v>7.9432485899999996</v>
      </c>
      <c r="I21" s="3">
        <v>1493.33</v>
      </c>
      <c r="J21" s="2">
        <v>0</v>
      </c>
      <c r="K21" s="15" t="b">
        <v>1</v>
      </c>
      <c r="L21" s="41" t="str">
        <f t="shared" si="0"/>
        <v>238829520 -&gt; 5990070#1 | t=600</v>
      </c>
      <c r="M21" s="6" t="str">
        <f t="shared" si="1"/>
        <v>3 min 11 s</v>
      </c>
      <c r="N21" s="6">
        <f t="shared" si="2"/>
        <v>28.595694924</v>
      </c>
      <c r="O21" s="7">
        <f t="shared" si="3"/>
        <v>1.4933299999999998</v>
      </c>
      <c r="P21" s="29">
        <f t="shared" si="4"/>
        <v>2.4118589743589744E-3</v>
      </c>
      <c r="Q21" s="41" t="str">
        <f t="shared" si="5"/>
        <v/>
      </c>
      <c r="R21" s="35" t="str">
        <f t="shared" si="6"/>
        <v/>
      </c>
      <c r="S21" s="6" t="str">
        <f t="shared" si="7"/>
        <v>Referencia</v>
      </c>
    </row>
    <row r="22" spans="1:19" x14ac:dyDescent="0.3">
      <c r="A22" s="38" t="s">
        <v>11</v>
      </c>
      <c r="B22" s="41" t="s">
        <v>12</v>
      </c>
      <c r="C22" s="41" t="s">
        <v>20</v>
      </c>
      <c r="D22" s="2">
        <v>600</v>
      </c>
      <c r="E22" s="2">
        <v>1101</v>
      </c>
      <c r="F22" s="2">
        <v>1041</v>
      </c>
      <c r="G22" s="2">
        <v>0</v>
      </c>
      <c r="H22" s="3">
        <v>14.3006092</v>
      </c>
      <c r="I22" s="3">
        <v>1478.63</v>
      </c>
      <c r="J22" s="2">
        <v>9</v>
      </c>
      <c r="K22" s="15" t="b">
        <v>1</v>
      </c>
      <c r="L22" s="41" t="str">
        <f t="shared" si="0"/>
        <v>238829520 -&gt; 5990070#1 | t=600</v>
      </c>
      <c r="M22" s="6" t="str">
        <f t="shared" si="1"/>
        <v>17 min 21 s</v>
      </c>
      <c r="N22" s="6">
        <f t="shared" si="2"/>
        <v>51.482193120000005</v>
      </c>
      <c r="O22" s="7">
        <f t="shared" si="3"/>
        <v>1.4786300000000001</v>
      </c>
      <c r="P22" s="29">
        <f t="shared" si="4"/>
        <v>2.4118589743589744E-3</v>
      </c>
      <c r="Q22" s="41" t="str">
        <f t="shared" si="5"/>
        <v>-13 min 53 s</v>
      </c>
      <c r="R22" s="35">
        <f t="shared" si="6"/>
        <v>-3.9955703211517162</v>
      </c>
      <c r="S22" s="6" t="str">
        <f t="shared" si="7"/>
        <v>Empeora</v>
      </c>
    </row>
    <row r="23" spans="1:19" x14ac:dyDescent="0.3">
      <c r="A23" s="38" t="s">
        <v>11</v>
      </c>
      <c r="B23" s="41" t="s">
        <v>12</v>
      </c>
      <c r="C23" s="41" t="s">
        <v>20</v>
      </c>
      <c r="D23" s="2">
        <v>600</v>
      </c>
      <c r="E23" s="2">
        <v>199</v>
      </c>
      <c r="F23" s="2">
        <v>139</v>
      </c>
      <c r="G23" s="2">
        <v>0</v>
      </c>
      <c r="H23" s="3">
        <v>11.047500039999999</v>
      </c>
      <c r="I23" s="3">
        <v>1502.46</v>
      </c>
      <c r="J23" s="2">
        <v>4</v>
      </c>
      <c r="K23" s="15" t="b">
        <v>1</v>
      </c>
      <c r="L23" s="41" t="str">
        <f t="shared" si="0"/>
        <v>238829520 -&gt; 5990070#1 | t=600</v>
      </c>
      <c r="M23" s="6" t="str">
        <f t="shared" si="1"/>
        <v>2 min 19 s</v>
      </c>
      <c r="N23" s="6">
        <f t="shared" si="2"/>
        <v>39.771000143999998</v>
      </c>
      <c r="O23" s="7">
        <f t="shared" si="3"/>
        <v>1.5024600000000001</v>
      </c>
      <c r="P23" s="29">
        <f t="shared" si="4"/>
        <v>2.4118589743589744E-3</v>
      </c>
      <c r="Q23" s="41" t="str">
        <f t="shared" si="5"/>
        <v>1 min 09 s</v>
      </c>
      <c r="R23" s="35">
        <f t="shared" si="6"/>
        <v>0.33296419342930972</v>
      </c>
      <c r="S23" s="6" t="str">
        <f t="shared" si="7"/>
        <v>Mejora</v>
      </c>
    </row>
    <row r="24" spans="1:19" x14ac:dyDescent="0.3">
      <c r="A24" s="38" t="s">
        <v>14</v>
      </c>
      <c r="B24" s="41" t="s">
        <v>12</v>
      </c>
      <c r="C24" s="41" t="s">
        <v>20</v>
      </c>
      <c r="D24" s="2">
        <v>600</v>
      </c>
      <c r="E24" s="2">
        <v>251</v>
      </c>
      <c r="F24" s="2">
        <v>191</v>
      </c>
      <c r="G24" s="2">
        <v>0</v>
      </c>
      <c r="H24" s="3">
        <v>7.9432485899999996</v>
      </c>
      <c r="I24" s="3">
        <v>1493.33</v>
      </c>
      <c r="J24" s="2">
        <v>0</v>
      </c>
      <c r="K24" s="15" t="b">
        <v>1</v>
      </c>
      <c r="L24" s="41" t="str">
        <f t="shared" si="0"/>
        <v>238829520 -&gt; 5990070#1 | t=600</v>
      </c>
      <c r="M24" s="6" t="str">
        <f t="shared" si="1"/>
        <v>3 min 11 s</v>
      </c>
      <c r="N24" s="6">
        <f t="shared" si="2"/>
        <v>28.595694924</v>
      </c>
      <c r="O24" s="7">
        <f t="shared" si="3"/>
        <v>1.4933299999999998</v>
      </c>
      <c r="P24" s="29">
        <f t="shared" si="4"/>
        <v>2.4118589743589744E-3</v>
      </c>
      <c r="Q24" s="41" t="str">
        <f t="shared" si="5"/>
        <v/>
      </c>
      <c r="R24" s="35" t="str">
        <f t="shared" si="6"/>
        <v/>
      </c>
      <c r="S24" s="6" t="str">
        <f t="shared" si="7"/>
        <v>Referencia</v>
      </c>
    </row>
    <row r="25" spans="1:19" x14ac:dyDescent="0.3">
      <c r="A25" s="38" t="s">
        <v>14</v>
      </c>
      <c r="B25" s="41" t="s">
        <v>12</v>
      </c>
      <c r="C25" s="41" t="s">
        <v>20</v>
      </c>
      <c r="D25" s="2">
        <v>600</v>
      </c>
      <c r="E25" s="2">
        <v>249</v>
      </c>
      <c r="F25" s="2">
        <v>189</v>
      </c>
      <c r="G25" s="2">
        <v>0</v>
      </c>
      <c r="H25" s="3">
        <v>7.9784232299999998</v>
      </c>
      <c r="I25" s="3">
        <v>1499.94</v>
      </c>
      <c r="J25" s="2">
        <v>0</v>
      </c>
      <c r="K25" s="15" t="b">
        <v>1</v>
      </c>
      <c r="L25" s="41" t="str">
        <f t="shared" si="0"/>
        <v>238829520 -&gt; 5990070#1 | t=600</v>
      </c>
      <c r="M25" s="6" t="str">
        <f t="shared" si="1"/>
        <v>3 min 09 s</v>
      </c>
      <c r="N25" s="6">
        <f t="shared" si="2"/>
        <v>28.722323627999998</v>
      </c>
      <c r="O25" s="7">
        <f t="shared" si="3"/>
        <v>1.4999400000000001</v>
      </c>
      <c r="P25" s="29">
        <f t="shared" si="4"/>
        <v>2.4118589743589744E-3</v>
      </c>
      <c r="Q25" s="41" t="str">
        <f t="shared" si="5"/>
        <v/>
      </c>
      <c r="R25" s="35" t="str">
        <f t="shared" si="6"/>
        <v/>
      </c>
      <c r="S25" s="6" t="str">
        <f t="shared" si="7"/>
        <v>Referencia</v>
      </c>
    </row>
    <row r="26" spans="1:19" x14ac:dyDescent="0.3">
      <c r="A26" s="38" t="s">
        <v>11</v>
      </c>
      <c r="B26" s="41" t="s">
        <v>12</v>
      </c>
      <c r="C26" s="41" t="s">
        <v>20</v>
      </c>
      <c r="D26" s="2">
        <v>600</v>
      </c>
      <c r="E26" s="2">
        <v>183</v>
      </c>
      <c r="F26" s="2">
        <v>123</v>
      </c>
      <c r="G26" s="2">
        <v>0</v>
      </c>
      <c r="H26" s="3">
        <v>12.326000000000001</v>
      </c>
      <c r="I26" s="3">
        <v>1503.77</v>
      </c>
      <c r="J26" s="2">
        <v>3</v>
      </c>
      <c r="K26" s="15" t="b">
        <v>1</v>
      </c>
      <c r="L26" s="41" t="str">
        <f t="shared" si="0"/>
        <v>238829520 -&gt; 5990070#1 | t=600</v>
      </c>
      <c r="M26" s="6" t="str">
        <f t="shared" si="1"/>
        <v>2 min 03 s</v>
      </c>
      <c r="N26" s="6">
        <f t="shared" si="2"/>
        <v>44.373600000000003</v>
      </c>
      <c r="O26" s="7">
        <f t="shared" si="3"/>
        <v>1.5037700000000001</v>
      </c>
      <c r="P26" s="29">
        <f t="shared" si="4"/>
        <v>2.4118589743589744E-3</v>
      </c>
      <c r="Q26" s="41" t="str">
        <f t="shared" si="5"/>
        <v>1 min 25 s</v>
      </c>
      <c r="R26" s="35">
        <f t="shared" si="6"/>
        <v>0.40974529346622368</v>
      </c>
      <c r="S26" s="6" t="str">
        <f t="shared" si="7"/>
        <v>Mejora</v>
      </c>
    </row>
    <row r="27" spans="1:19" x14ac:dyDescent="0.3">
      <c r="A27" s="38" t="s">
        <v>11</v>
      </c>
      <c r="B27" s="41" t="s">
        <v>12</v>
      </c>
      <c r="C27" s="41" t="s">
        <v>20</v>
      </c>
      <c r="D27" s="2">
        <v>600</v>
      </c>
      <c r="E27" s="2">
        <v>179</v>
      </c>
      <c r="F27" s="2">
        <v>119</v>
      </c>
      <c r="G27" s="2">
        <v>0</v>
      </c>
      <c r="H27" s="3">
        <v>12.8485</v>
      </c>
      <c r="I27" s="3">
        <v>1503.28</v>
      </c>
      <c r="J27" s="2">
        <v>3</v>
      </c>
      <c r="K27" s="15" t="b">
        <v>1</v>
      </c>
      <c r="L27" s="41" t="str">
        <f t="shared" si="0"/>
        <v>238829520 -&gt; 5990070#1 | t=600</v>
      </c>
      <c r="M27" s="6" t="str">
        <f t="shared" si="1"/>
        <v>1 min 59 s</v>
      </c>
      <c r="N27" s="6">
        <f t="shared" si="2"/>
        <v>46.254599999999996</v>
      </c>
      <c r="O27" s="7">
        <f t="shared" si="3"/>
        <v>1.5032799999999999</v>
      </c>
      <c r="P27" s="29">
        <f t="shared" si="4"/>
        <v>2.4118589743589744E-3</v>
      </c>
      <c r="Q27" s="41" t="str">
        <f t="shared" si="5"/>
        <v>1 min 29 s</v>
      </c>
      <c r="R27" s="35">
        <f t="shared" si="6"/>
        <v>0.42894056847545226</v>
      </c>
      <c r="S27" s="6" t="str">
        <f t="shared" si="7"/>
        <v>Mejora</v>
      </c>
    </row>
    <row r="28" spans="1:19" x14ac:dyDescent="0.3">
      <c r="A28" s="38" t="s">
        <v>11</v>
      </c>
      <c r="B28" s="41" t="s">
        <v>12</v>
      </c>
      <c r="C28" s="41" t="s">
        <v>20</v>
      </c>
      <c r="D28" s="2">
        <v>600</v>
      </c>
      <c r="E28" s="2">
        <v>179</v>
      </c>
      <c r="F28" s="2">
        <v>119</v>
      </c>
      <c r="G28" s="2">
        <v>0</v>
      </c>
      <c r="H28" s="3">
        <v>12.8485</v>
      </c>
      <c r="I28" s="3">
        <v>1503.28</v>
      </c>
      <c r="J28" s="2">
        <v>3</v>
      </c>
      <c r="K28" s="15" t="b">
        <v>1</v>
      </c>
      <c r="L28" s="41" t="str">
        <f t="shared" si="0"/>
        <v>238829520 -&gt; 5990070#1 | t=600</v>
      </c>
      <c r="M28" s="6" t="str">
        <f t="shared" si="1"/>
        <v>1 min 59 s</v>
      </c>
      <c r="N28" s="6">
        <f t="shared" si="2"/>
        <v>46.254599999999996</v>
      </c>
      <c r="O28" s="7">
        <f t="shared" si="3"/>
        <v>1.5032799999999999</v>
      </c>
      <c r="P28" s="29">
        <f t="shared" si="4"/>
        <v>2.4118589743589744E-3</v>
      </c>
      <c r="Q28" s="41" t="str">
        <f t="shared" si="5"/>
        <v>1 min 29 s</v>
      </c>
      <c r="R28" s="35">
        <f t="shared" si="6"/>
        <v>0.42894056847545226</v>
      </c>
      <c r="S28" s="6" t="str">
        <f t="shared" si="7"/>
        <v>Mejora</v>
      </c>
    </row>
    <row r="29" spans="1:19" x14ac:dyDescent="0.3">
      <c r="A29" s="38" t="s">
        <v>11</v>
      </c>
      <c r="B29" s="41" t="s">
        <v>12</v>
      </c>
      <c r="C29" s="41" t="s">
        <v>20</v>
      </c>
      <c r="D29" s="2">
        <v>600</v>
      </c>
      <c r="E29" s="2">
        <v>178</v>
      </c>
      <c r="F29" s="2">
        <v>118</v>
      </c>
      <c r="G29" s="2">
        <v>0</v>
      </c>
      <c r="H29" s="3">
        <v>12.9581</v>
      </c>
      <c r="I29" s="3">
        <v>1503.14</v>
      </c>
      <c r="J29" s="2">
        <v>3</v>
      </c>
      <c r="K29" s="15" t="b">
        <v>1</v>
      </c>
      <c r="L29" s="41" t="str">
        <f t="shared" si="0"/>
        <v>238829520 -&gt; 5990070#1 | t=600</v>
      </c>
      <c r="M29" s="6" t="str">
        <f t="shared" si="1"/>
        <v>1 min 58 s</v>
      </c>
      <c r="N29" s="6">
        <f t="shared" si="2"/>
        <v>46.649160000000002</v>
      </c>
      <c r="O29" s="7">
        <f t="shared" si="3"/>
        <v>1.5031400000000001</v>
      </c>
      <c r="P29" s="29">
        <f t="shared" si="4"/>
        <v>2.4118589743589744E-3</v>
      </c>
      <c r="Q29" s="41" t="str">
        <f t="shared" si="5"/>
        <v>1 min 30 s</v>
      </c>
      <c r="R29" s="35">
        <f t="shared" si="6"/>
        <v>0.43373938722775934</v>
      </c>
      <c r="S29" s="6" t="str">
        <f t="shared" si="7"/>
        <v>Mejora</v>
      </c>
    </row>
    <row r="30" spans="1:19" x14ac:dyDescent="0.3">
      <c r="A30" s="38" t="s">
        <v>11</v>
      </c>
      <c r="B30" s="41" t="s">
        <v>12</v>
      </c>
      <c r="C30" s="41" t="s">
        <v>20</v>
      </c>
      <c r="D30" s="2">
        <v>600</v>
      </c>
      <c r="E30" s="2">
        <v>178</v>
      </c>
      <c r="F30" s="2">
        <v>118</v>
      </c>
      <c r="G30" s="2">
        <v>0</v>
      </c>
      <c r="H30" s="3">
        <v>12.9581</v>
      </c>
      <c r="I30" s="3">
        <v>1503.14</v>
      </c>
      <c r="J30" s="2">
        <v>3</v>
      </c>
      <c r="K30" s="15" t="b">
        <v>1</v>
      </c>
      <c r="L30" s="41" t="str">
        <f t="shared" si="0"/>
        <v>238829520 -&gt; 5990070#1 | t=600</v>
      </c>
      <c r="M30" s="6" t="str">
        <f t="shared" si="1"/>
        <v>1 min 58 s</v>
      </c>
      <c r="N30" s="6">
        <f t="shared" si="2"/>
        <v>46.649160000000002</v>
      </c>
      <c r="O30" s="7">
        <f t="shared" si="3"/>
        <v>1.5031400000000001</v>
      </c>
      <c r="P30" s="29">
        <f t="shared" si="4"/>
        <v>2.4118589743589744E-3</v>
      </c>
      <c r="Q30" s="41" t="str">
        <f t="shared" si="5"/>
        <v>1 min 30 s</v>
      </c>
      <c r="R30" s="35">
        <f t="shared" si="6"/>
        <v>0.43373938722775934</v>
      </c>
      <c r="S30" s="6" t="str">
        <f t="shared" si="7"/>
        <v>Mejora</v>
      </c>
    </row>
    <row r="31" spans="1:19" x14ac:dyDescent="0.3">
      <c r="A31" s="38" t="s">
        <v>14</v>
      </c>
      <c r="B31" s="41" t="s">
        <v>12</v>
      </c>
      <c r="C31" s="41" t="s">
        <v>20</v>
      </c>
      <c r="D31" s="2">
        <v>600</v>
      </c>
      <c r="E31" s="2">
        <v>249</v>
      </c>
      <c r="F31" s="2">
        <v>189</v>
      </c>
      <c r="G31" s="2">
        <v>0</v>
      </c>
      <c r="H31" s="3">
        <v>8.0408799999999996</v>
      </c>
      <c r="I31" s="3">
        <v>1503.64</v>
      </c>
      <c r="J31" s="2">
        <v>0</v>
      </c>
      <c r="K31" s="15" t="b">
        <v>1</v>
      </c>
      <c r="L31" s="41" t="str">
        <f t="shared" si="0"/>
        <v>238829520 -&gt; 5990070#1 | t=600</v>
      </c>
      <c r="M31" s="6" t="str">
        <f t="shared" si="1"/>
        <v>3 min 09 s</v>
      </c>
      <c r="N31" s="6">
        <f t="shared" si="2"/>
        <v>28.947167999999998</v>
      </c>
      <c r="O31" s="7">
        <f t="shared" si="3"/>
        <v>1.5036400000000001</v>
      </c>
      <c r="P31" s="29">
        <f t="shared" si="4"/>
        <v>2.4118589743589744E-3</v>
      </c>
      <c r="Q31" s="41" t="str">
        <f t="shared" si="5"/>
        <v/>
      </c>
      <c r="R31" s="35" t="str">
        <f t="shared" si="6"/>
        <v/>
      </c>
      <c r="S31" s="6" t="str">
        <f t="shared" si="7"/>
        <v>Referencia</v>
      </c>
    </row>
    <row r="32" spans="1:19" x14ac:dyDescent="0.3">
      <c r="A32" s="38" t="s">
        <v>14</v>
      </c>
      <c r="B32" s="41" t="s">
        <v>12</v>
      </c>
      <c r="C32" s="41" t="s">
        <v>20</v>
      </c>
      <c r="D32" s="2">
        <v>600</v>
      </c>
      <c r="E32" s="2">
        <v>249</v>
      </c>
      <c r="F32" s="2">
        <v>189</v>
      </c>
      <c r="G32" s="2">
        <v>0</v>
      </c>
      <c r="H32" s="3">
        <v>8.0408799999999996</v>
      </c>
      <c r="I32" s="3">
        <v>1503.64</v>
      </c>
      <c r="J32" s="2">
        <v>0</v>
      </c>
      <c r="K32" s="15" t="b">
        <v>1</v>
      </c>
      <c r="L32" s="41" t="str">
        <f t="shared" si="0"/>
        <v>238829520 -&gt; 5990070#1 | t=600</v>
      </c>
      <c r="M32" s="6" t="str">
        <f t="shared" si="1"/>
        <v>3 min 09 s</v>
      </c>
      <c r="N32" s="6">
        <f t="shared" si="2"/>
        <v>28.947167999999998</v>
      </c>
      <c r="O32" s="7">
        <f t="shared" si="3"/>
        <v>1.5036400000000001</v>
      </c>
      <c r="P32" s="29">
        <f t="shared" si="4"/>
        <v>2.4118589743589744E-3</v>
      </c>
      <c r="Q32" s="41" t="str">
        <f t="shared" si="5"/>
        <v/>
      </c>
      <c r="R32" s="35" t="str">
        <f t="shared" si="6"/>
        <v/>
      </c>
      <c r="S32" s="6" t="str">
        <f t="shared" si="7"/>
        <v>Referencia</v>
      </c>
    </row>
    <row r="33" spans="1:19" x14ac:dyDescent="0.3">
      <c r="A33" s="38" t="s">
        <v>11</v>
      </c>
      <c r="B33" s="41" t="s">
        <v>12</v>
      </c>
      <c r="C33" s="41" t="s">
        <v>20</v>
      </c>
      <c r="D33" s="2">
        <v>600</v>
      </c>
      <c r="E33" s="2">
        <v>178</v>
      </c>
      <c r="F33" s="2">
        <v>118</v>
      </c>
      <c r="G33" s="2">
        <v>0</v>
      </c>
      <c r="H33" s="3">
        <v>12.9581</v>
      </c>
      <c r="I33" s="3">
        <v>1503.14</v>
      </c>
      <c r="J33" s="2">
        <v>3</v>
      </c>
      <c r="K33" s="15" t="b">
        <v>1</v>
      </c>
      <c r="L33" s="41" t="str">
        <f t="shared" si="0"/>
        <v>238829520 -&gt; 5990070#1 | t=600</v>
      </c>
      <c r="M33" s="6" t="str">
        <f t="shared" si="1"/>
        <v>1 min 58 s</v>
      </c>
      <c r="N33" s="6">
        <f t="shared" si="2"/>
        <v>46.649160000000002</v>
      </c>
      <c r="O33" s="7">
        <f t="shared" si="3"/>
        <v>1.5031400000000001</v>
      </c>
      <c r="P33" s="29">
        <f t="shared" si="4"/>
        <v>2.4118589743589744E-3</v>
      </c>
      <c r="Q33" s="41" t="str">
        <f t="shared" si="5"/>
        <v>1 min 30 s</v>
      </c>
      <c r="R33" s="35">
        <f t="shared" si="6"/>
        <v>0.43373938722775934</v>
      </c>
      <c r="S33" s="6" t="str">
        <f t="shared" si="7"/>
        <v>Mejora</v>
      </c>
    </row>
    <row r="34" spans="1:19" x14ac:dyDescent="0.3">
      <c r="A34" s="38" t="s">
        <v>11</v>
      </c>
      <c r="B34" s="41" t="s">
        <v>12</v>
      </c>
      <c r="C34" s="41" t="s">
        <v>20</v>
      </c>
      <c r="D34" s="2">
        <v>600</v>
      </c>
      <c r="E34" s="2">
        <v>192</v>
      </c>
      <c r="F34" s="2">
        <v>132</v>
      </c>
      <c r="G34" s="2">
        <v>0</v>
      </c>
      <c r="H34" s="3">
        <v>11.551600000000001</v>
      </c>
      <c r="I34" s="3">
        <v>1501.71</v>
      </c>
      <c r="J34" s="2">
        <v>3</v>
      </c>
      <c r="K34" s="15" t="b">
        <v>1</v>
      </c>
      <c r="L34" s="41" t="str">
        <f t="shared" ref="L34:L65" si="8">B34&amp;" -&gt; "&amp;C34&amp;" | t="&amp;D34</f>
        <v>238829520 -&gt; 5990070#1 | t=600</v>
      </c>
      <c r="M34" s="6" t="str">
        <f t="shared" ref="M34:M65" si="9">INT(F34/60)&amp;" min "&amp;TEXT(MOD(F34,60),"00")&amp;" s"</f>
        <v>2 min 12 s</v>
      </c>
      <c r="N34" s="6">
        <f t="shared" ref="N34:N65" si="10">H34*3.6</f>
        <v>41.585760000000001</v>
      </c>
      <c r="O34" s="7">
        <f t="shared" ref="O34:O65" si="11">I34/1000</f>
        <v>1.5017100000000001</v>
      </c>
      <c r="P34" s="29">
        <f t="shared" ref="P34:P65" si="12">IFERROR(AVERAGEIFS($F:$F,$A:$A,"base",$B:$B,B34,$C:$C,C34,$D:$D,D34,$K:$K,"VERDADERO")/86400,"")</f>
        <v>2.4118589743589744E-3</v>
      </c>
      <c r="Q34" s="41" t="str">
        <f t="shared" ref="Q34:Q65" si="13">IF(OR(A34&lt;&gt;"inteligente",K34&lt;&gt;TRUE,P34=""),"",IF(P34-F34/86400&lt;0,"-","")&amp;INT(ABS(P34-F34/86400)*1440)&amp;" min "&amp;TEXT(MOD(ABS(P34-F34/86400)*86400,60),"00")&amp;" s")</f>
        <v>1 min 16 s</v>
      </c>
      <c r="R34" s="35">
        <f t="shared" ref="R34:R65" si="14">IF(OR(A34&lt;&gt;"inteligente",K34&lt;&gt;TRUE,P34=""),"",(P34-F34/86400)/P34)</f>
        <v>0.36655592469545956</v>
      </c>
      <c r="S34" s="6" t="str">
        <f t="shared" ref="S34:S65" si="15">IF(K34&lt;&gt;TRUE,"No llega",IF(A34="base","Referencia",IF(R34="","Sin referencia",IF(R34&gt;0,"Mejora",IF(R34&lt;0,"Empeora","Igual")))))</f>
        <v>Mejora</v>
      </c>
    </row>
    <row r="35" spans="1:19" x14ac:dyDescent="0.3">
      <c r="A35" s="38" t="s">
        <v>14</v>
      </c>
      <c r="B35" s="41" t="s">
        <v>12</v>
      </c>
      <c r="C35" s="41" t="s">
        <v>20</v>
      </c>
      <c r="D35" s="2">
        <v>600</v>
      </c>
      <c r="E35" s="2">
        <v>254</v>
      </c>
      <c r="F35" s="2">
        <v>194</v>
      </c>
      <c r="G35" s="2">
        <v>0</v>
      </c>
      <c r="H35" s="3">
        <v>7.8705499999999997</v>
      </c>
      <c r="I35" s="3">
        <v>1503.27</v>
      </c>
      <c r="J35" s="2">
        <v>0</v>
      </c>
      <c r="K35" s="15" t="b">
        <v>1</v>
      </c>
      <c r="L35" s="41" t="str">
        <f t="shared" si="8"/>
        <v>238829520 -&gt; 5990070#1 | t=600</v>
      </c>
      <c r="M35" s="6" t="str">
        <f t="shared" si="9"/>
        <v>3 min 14 s</v>
      </c>
      <c r="N35" s="6">
        <f t="shared" si="10"/>
        <v>28.33398</v>
      </c>
      <c r="O35" s="7">
        <f t="shared" si="11"/>
        <v>1.5032699999999999</v>
      </c>
      <c r="P35" s="29">
        <f t="shared" si="12"/>
        <v>2.4118589743589744E-3</v>
      </c>
      <c r="Q35" s="41" t="str">
        <f t="shared" si="13"/>
        <v/>
      </c>
      <c r="R35" s="35" t="str">
        <f t="shared" si="14"/>
        <v/>
      </c>
      <c r="S35" s="6" t="str">
        <f t="shared" si="15"/>
        <v>Referencia</v>
      </c>
    </row>
    <row r="36" spans="1:19" x14ac:dyDescent="0.3">
      <c r="A36" s="38" t="s">
        <v>14</v>
      </c>
      <c r="B36" s="41" t="s">
        <v>12</v>
      </c>
      <c r="C36" s="41" t="s">
        <v>20</v>
      </c>
      <c r="D36" s="2">
        <v>600</v>
      </c>
      <c r="E36" s="2">
        <v>339</v>
      </c>
      <c r="F36" s="2">
        <v>279</v>
      </c>
      <c r="G36" s="2">
        <v>0</v>
      </c>
      <c r="H36" s="3">
        <v>5.42171</v>
      </c>
      <c r="I36" s="3">
        <v>1501.81</v>
      </c>
      <c r="J36" s="2">
        <v>0</v>
      </c>
      <c r="K36" s="15" t="b">
        <v>1</v>
      </c>
      <c r="L36" s="41" t="str">
        <f t="shared" si="8"/>
        <v>238829520 -&gt; 5990070#1 | t=600</v>
      </c>
      <c r="M36" s="6" t="str">
        <f t="shared" si="9"/>
        <v>4 min 39 s</v>
      </c>
      <c r="N36" s="6">
        <f t="shared" si="10"/>
        <v>19.518156000000001</v>
      </c>
      <c r="O36" s="7">
        <f t="shared" si="11"/>
        <v>1.5018099999999999</v>
      </c>
      <c r="P36" s="29">
        <f t="shared" si="12"/>
        <v>2.4118589743589744E-3</v>
      </c>
      <c r="Q36" s="41" t="str">
        <f t="shared" si="13"/>
        <v/>
      </c>
      <c r="R36" s="35" t="str">
        <f t="shared" si="14"/>
        <v/>
      </c>
      <c r="S36" s="6" t="str">
        <f t="shared" si="15"/>
        <v>Referencia</v>
      </c>
    </row>
    <row r="37" spans="1:19" x14ac:dyDescent="0.3">
      <c r="A37" s="38" t="s">
        <v>14</v>
      </c>
      <c r="B37" s="41" t="s">
        <v>12</v>
      </c>
      <c r="C37" s="41" t="s">
        <v>20</v>
      </c>
      <c r="D37" s="2">
        <v>600</v>
      </c>
      <c r="E37" s="2">
        <v>339</v>
      </c>
      <c r="F37" s="2">
        <v>279</v>
      </c>
      <c r="G37" s="2">
        <v>0</v>
      </c>
      <c r="H37" s="3">
        <v>5.41662</v>
      </c>
      <c r="I37" s="3">
        <v>1504.56</v>
      </c>
      <c r="J37" s="2">
        <v>0</v>
      </c>
      <c r="K37" s="15" t="b">
        <v>1</v>
      </c>
      <c r="L37" s="41" t="str">
        <f t="shared" si="8"/>
        <v>238829520 -&gt; 5990070#1 | t=600</v>
      </c>
      <c r="M37" s="6" t="str">
        <f t="shared" si="9"/>
        <v>4 min 39 s</v>
      </c>
      <c r="N37" s="6">
        <f t="shared" si="10"/>
        <v>19.499832000000001</v>
      </c>
      <c r="O37" s="7">
        <f t="shared" si="11"/>
        <v>1.5045599999999999</v>
      </c>
      <c r="P37" s="29">
        <f t="shared" si="12"/>
        <v>2.4118589743589744E-3</v>
      </c>
      <c r="Q37" s="41" t="str">
        <f t="shared" si="13"/>
        <v/>
      </c>
      <c r="R37" s="35" t="str">
        <f t="shared" si="14"/>
        <v/>
      </c>
      <c r="S37" s="6" t="str">
        <f t="shared" si="15"/>
        <v>Referencia</v>
      </c>
    </row>
    <row r="38" spans="1:19" x14ac:dyDescent="0.3">
      <c r="A38" s="38" t="s">
        <v>11</v>
      </c>
      <c r="B38" s="41" t="s">
        <v>12</v>
      </c>
      <c r="C38" s="41" t="s">
        <v>20</v>
      </c>
      <c r="D38" s="2">
        <v>600</v>
      </c>
      <c r="E38" s="2">
        <v>194</v>
      </c>
      <c r="F38" s="2">
        <v>134</v>
      </c>
      <c r="G38" s="2">
        <v>0</v>
      </c>
      <c r="H38" s="3">
        <v>11.382999999999999</v>
      </c>
      <c r="I38" s="3">
        <v>1502.5690300000001</v>
      </c>
      <c r="J38" s="2">
        <v>4</v>
      </c>
      <c r="K38" s="15" t="b">
        <v>1</v>
      </c>
      <c r="L38" s="41" t="str">
        <f t="shared" si="8"/>
        <v>238829520 -&gt; 5990070#1 | t=600</v>
      </c>
      <c r="M38" s="6" t="str">
        <f t="shared" si="9"/>
        <v>2 min 14 s</v>
      </c>
      <c r="N38" s="6">
        <f t="shared" si="10"/>
        <v>40.9788</v>
      </c>
      <c r="O38" s="7">
        <f t="shared" si="11"/>
        <v>1.5025690300000001</v>
      </c>
      <c r="P38" s="29">
        <f t="shared" si="12"/>
        <v>2.4118589743589744E-3</v>
      </c>
      <c r="Q38" s="41" t="str">
        <f t="shared" si="13"/>
        <v>1 min 14 s</v>
      </c>
      <c r="R38" s="35">
        <f t="shared" si="14"/>
        <v>0.35695828719084538</v>
      </c>
      <c r="S38" s="6" t="str">
        <f t="shared" si="15"/>
        <v>Mejora</v>
      </c>
    </row>
    <row r="39" spans="1:19" x14ac:dyDescent="0.3">
      <c r="A39" s="38" t="s">
        <v>11</v>
      </c>
      <c r="B39" s="41" t="s">
        <v>12</v>
      </c>
      <c r="C39" s="41" t="s">
        <v>20</v>
      </c>
      <c r="D39" s="2">
        <v>600</v>
      </c>
      <c r="E39" s="2">
        <v>189</v>
      </c>
      <c r="F39" s="2">
        <v>129</v>
      </c>
      <c r="G39" s="2">
        <v>0</v>
      </c>
      <c r="H39" s="3">
        <v>11.7315</v>
      </c>
      <c r="I39" s="3">
        <v>1501.630005</v>
      </c>
      <c r="J39" s="2">
        <v>3</v>
      </c>
      <c r="K39" s="15" t="b">
        <v>1</v>
      </c>
      <c r="L39" s="41" t="str">
        <f t="shared" si="8"/>
        <v>238829520 -&gt; 5990070#1 | t=600</v>
      </c>
      <c r="M39" s="6" t="str">
        <f t="shared" si="9"/>
        <v>2 min 09 s</v>
      </c>
      <c r="N39" s="6">
        <f t="shared" si="10"/>
        <v>42.233400000000003</v>
      </c>
      <c r="O39" s="7">
        <f t="shared" si="11"/>
        <v>1.501630005</v>
      </c>
      <c r="P39" s="29">
        <f t="shared" si="12"/>
        <v>2.4118589743589744E-3</v>
      </c>
      <c r="Q39" s="41" t="str">
        <f t="shared" si="13"/>
        <v>1 min 19 s</v>
      </c>
      <c r="R39" s="35">
        <f t="shared" si="14"/>
        <v>0.38095238095238093</v>
      </c>
      <c r="S39" s="6" t="str">
        <f t="shared" si="15"/>
        <v>Mejora</v>
      </c>
    </row>
    <row r="40" spans="1:19" x14ac:dyDescent="0.3">
      <c r="A40" s="38" t="s">
        <v>14</v>
      </c>
      <c r="B40" s="41" t="s">
        <v>12</v>
      </c>
      <c r="C40" s="41" t="s">
        <v>20</v>
      </c>
      <c r="D40" s="2">
        <v>600</v>
      </c>
      <c r="E40" s="2">
        <v>249</v>
      </c>
      <c r="F40" s="2">
        <v>189</v>
      </c>
      <c r="G40" s="2">
        <v>0</v>
      </c>
      <c r="H40" s="3">
        <v>7.9830500000000004</v>
      </c>
      <c r="I40" s="3">
        <v>1500.8102019999999</v>
      </c>
      <c r="J40" s="2">
        <v>0</v>
      </c>
      <c r="K40" s="15" t="b">
        <v>1</v>
      </c>
      <c r="L40" s="41" t="str">
        <f t="shared" si="8"/>
        <v>238829520 -&gt; 5990070#1 | t=600</v>
      </c>
      <c r="M40" s="6" t="str">
        <f t="shared" si="9"/>
        <v>3 min 09 s</v>
      </c>
      <c r="N40" s="6">
        <f t="shared" si="10"/>
        <v>28.738980000000002</v>
      </c>
      <c r="O40" s="7">
        <f t="shared" si="11"/>
        <v>1.5008102019999998</v>
      </c>
      <c r="P40" s="29">
        <f t="shared" si="12"/>
        <v>2.4118589743589744E-3</v>
      </c>
      <c r="Q40" s="41" t="str">
        <f t="shared" si="13"/>
        <v/>
      </c>
      <c r="R40" s="35" t="str">
        <f t="shared" si="14"/>
        <v/>
      </c>
      <c r="S40" s="6" t="str">
        <f t="shared" si="15"/>
        <v>Referencia</v>
      </c>
    </row>
    <row r="41" spans="1:19" x14ac:dyDescent="0.3">
      <c r="A41" s="38" t="s">
        <v>14</v>
      </c>
      <c r="B41" s="41" t="s">
        <v>12</v>
      </c>
      <c r="C41" s="41" t="s">
        <v>20</v>
      </c>
      <c r="D41" s="2">
        <v>600</v>
      </c>
      <c r="E41" s="2">
        <v>249</v>
      </c>
      <c r="F41" s="2">
        <v>189</v>
      </c>
      <c r="G41" s="2">
        <v>0</v>
      </c>
      <c r="H41" s="3">
        <v>7.9830500000000004</v>
      </c>
      <c r="I41" s="3">
        <v>1500.8102019999999</v>
      </c>
      <c r="J41" s="2">
        <v>0</v>
      </c>
      <c r="K41" s="15" t="b">
        <v>1</v>
      </c>
      <c r="L41" s="41" t="str">
        <f t="shared" si="8"/>
        <v>238829520 -&gt; 5990070#1 | t=600</v>
      </c>
      <c r="M41" s="6" t="str">
        <f t="shared" si="9"/>
        <v>3 min 09 s</v>
      </c>
      <c r="N41" s="6">
        <f t="shared" si="10"/>
        <v>28.738980000000002</v>
      </c>
      <c r="O41" s="7">
        <f t="shared" si="11"/>
        <v>1.5008102019999998</v>
      </c>
      <c r="P41" s="29">
        <f t="shared" si="12"/>
        <v>2.4118589743589744E-3</v>
      </c>
      <c r="Q41" s="41" t="str">
        <f t="shared" si="13"/>
        <v/>
      </c>
      <c r="R41" s="35" t="str">
        <f t="shared" si="14"/>
        <v/>
      </c>
      <c r="S41" s="6" t="str">
        <f t="shared" si="15"/>
        <v>Referencia</v>
      </c>
    </row>
    <row r="42" spans="1:19" x14ac:dyDescent="0.3">
      <c r="A42" s="38" t="s">
        <v>11</v>
      </c>
      <c r="B42" s="41" t="s">
        <v>12</v>
      </c>
      <c r="C42" s="41" t="s">
        <v>20</v>
      </c>
      <c r="D42" s="2">
        <v>600</v>
      </c>
      <c r="E42" s="2">
        <v>189</v>
      </c>
      <c r="F42" s="2">
        <v>129</v>
      </c>
      <c r="G42" s="2">
        <v>0</v>
      </c>
      <c r="H42" s="3">
        <v>11.7315</v>
      </c>
      <c r="I42" s="3">
        <v>1501.630001</v>
      </c>
      <c r="J42" s="2">
        <v>3</v>
      </c>
      <c r="K42" s="15" t="b">
        <v>1</v>
      </c>
      <c r="L42" s="41" t="str">
        <f t="shared" si="8"/>
        <v>238829520 -&gt; 5990070#1 | t=600</v>
      </c>
      <c r="M42" s="6" t="str">
        <f t="shared" si="9"/>
        <v>2 min 09 s</v>
      </c>
      <c r="N42" s="6">
        <f t="shared" si="10"/>
        <v>42.233400000000003</v>
      </c>
      <c r="O42" s="7">
        <f t="shared" si="11"/>
        <v>1.5016300010000001</v>
      </c>
      <c r="P42" s="29">
        <f t="shared" si="12"/>
        <v>2.4118589743589744E-3</v>
      </c>
      <c r="Q42" s="41" t="str">
        <f t="shared" si="13"/>
        <v>1 min 19 s</v>
      </c>
      <c r="R42" s="35">
        <f t="shared" si="14"/>
        <v>0.38095238095238093</v>
      </c>
      <c r="S42" s="6" t="str">
        <f t="shared" si="15"/>
        <v>Mejora</v>
      </c>
    </row>
    <row r="43" spans="1:19" x14ac:dyDescent="0.3">
      <c r="A43" s="38" t="s">
        <v>11</v>
      </c>
      <c r="B43" s="41" t="s">
        <v>12</v>
      </c>
      <c r="C43" s="41" t="s">
        <v>20</v>
      </c>
      <c r="D43" s="2">
        <v>600</v>
      </c>
      <c r="E43" s="2">
        <v>189</v>
      </c>
      <c r="F43" s="2">
        <v>129</v>
      </c>
      <c r="G43" s="2">
        <v>0</v>
      </c>
      <c r="H43" s="3">
        <v>11.7315</v>
      </c>
      <c r="I43" s="3">
        <v>1501.630001</v>
      </c>
      <c r="J43" s="2">
        <v>3</v>
      </c>
      <c r="K43" s="15" t="b">
        <v>1</v>
      </c>
      <c r="L43" s="41" t="str">
        <f t="shared" si="8"/>
        <v>238829520 -&gt; 5990070#1 | t=600</v>
      </c>
      <c r="M43" s="6" t="str">
        <f t="shared" si="9"/>
        <v>2 min 09 s</v>
      </c>
      <c r="N43" s="6">
        <f t="shared" si="10"/>
        <v>42.233400000000003</v>
      </c>
      <c r="O43" s="7">
        <f t="shared" si="11"/>
        <v>1.5016300010000001</v>
      </c>
      <c r="P43" s="29">
        <f t="shared" si="12"/>
        <v>2.4118589743589744E-3</v>
      </c>
      <c r="Q43" s="41" t="str">
        <f t="shared" si="13"/>
        <v>1 min 19 s</v>
      </c>
      <c r="R43" s="35">
        <f t="shared" si="14"/>
        <v>0.38095238095238093</v>
      </c>
      <c r="S43" s="6" t="str">
        <f t="shared" si="15"/>
        <v>Mejora</v>
      </c>
    </row>
    <row r="44" spans="1:19" x14ac:dyDescent="0.3">
      <c r="A44" s="38" t="s">
        <v>14</v>
      </c>
      <c r="B44" s="41" t="s">
        <v>12</v>
      </c>
      <c r="C44" s="41" t="s">
        <v>20</v>
      </c>
      <c r="D44" s="2">
        <v>600</v>
      </c>
      <c r="E44" s="2">
        <v>249</v>
      </c>
      <c r="F44" s="2">
        <v>189</v>
      </c>
      <c r="G44" s="2">
        <v>0</v>
      </c>
      <c r="H44" s="3">
        <v>7.9830500000000004</v>
      </c>
      <c r="I44" s="3">
        <v>1500.81</v>
      </c>
      <c r="J44" s="2">
        <v>0</v>
      </c>
      <c r="K44" s="15" t="b">
        <v>1</v>
      </c>
      <c r="L44" s="41" t="str">
        <f t="shared" si="8"/>
        <v>238829520 -&gt; 5990070#1 | t=600</v>
      </c>
      <c r="M44" s="6" t="str">
        <f t="shared" si="9"/>
        <v>3 min 09 s</v>
      </c>
      <c r="N44" s="6">
        <f t="shared" si="10"/>
        <v>28.738980000000002</v>
      </c>
      <c r="O44" s="7">
        <f t="shared" si="11"/>
        <v>1.50081</v>
      </c>
      <c r="P44" s="29">
        <f t="shared" si="12"/>
        <v>2.4118589743589744E-3</v>
      </c>
      <c r="Q44" s="41" t="str">
        <f t="shared" si="13"/>
        <v/>
      </c>
      <c r="R44" s="35" t="str">
        <f t="shared" si="14"/>
        <v/>
      </c>
      <c r="S44" s="6" t="str">
        <f t="shared" si="15"/>
        <v>Referencia</v>
      </c>
    </row>
    <row r="45" spans="1:19" x14ac:dyDescent="0.3">
      <c r="A45" s="38" t="s">
        <v>14</v>
      </c>
      <c r="B45" s="41" t="s">
        <v>12</v>
      </c>
      <c r="C45" s="41" t="s">
        <v>20</v>
      </c>
      <c r="D45" s="2">
        <v>600</v>
      </c>
      <c r="E45" s="2">
        <v>249</v>
      </c>
      <c r="F45" s="2">
        <v>189</v>
      </c>
      <c r="G45" s="2">
        <v>0</v>
      </c>
      <c r="H45" s="3">
        <v>7.9830500000000004</v>
      </c>
      <c r="I45" s="3">
        <v>1500.81</v>
      </c>
      <c r="J45" s="2">
        <v>0</v>
      </c>
      <c r="K45" s="15" t="b">
        <v>1</v>
      </c>
      <c r="L45" s="41" t="str">
        <f t="shared" si="8"/>
        <v>238829520 -&gt; 5990070#1 | t=600</v>
      </c>
      <c r="M45" s="6" t="str">
        <f t="shared" si="9"/>
        <v>3 min 09 s</v>
      </c>
      <c r="N45" s="6">
        <f t="shared" si="10"/>
        <v>28.738980000000002</v>
      </c>
      <c r="O45" s="7">
        <f t="shared" si="11"/>
        <v>1.50081</v>
      </c>
      <c r="P45" s="29">
        <f t="shared" si="12"/>
        <v>2.4118589743589744E-3</v>
      </c>
      <c r="Q45" s="41" t="str">
        <f t="shared" si="13"/>
        <v/>
      </c>
      <c r="R45" s="35" t="str">
        <f t="shared" si="14"/>
        <v/>
      </c>
      <c r="S45" s="6" t="str">
        <f t="shared" si="15"/>
        <v>Referencia</v>
      </c>
    </row>
    <row r="46" spans="1:19" x14ac:dyDescent="0.3">
      <c r="A46" s="38" t="s">
        <v>11</v>
      </c>
      <c r="B46" s="41" t="s">
        <v>12</v>
      </c>
      <c r="C46" s="41" t="s">
        <v>20</v>
      </c>
      <c r="D46" s="2">
        <v>600</v>
      </c>
      <c r="E46" s="2">
        <v>189</v>
      </c>
      <c r="F46" s="2">
        <v>129</v>
      </c>
      <c r="G46" s="2">
        <v>0</v>
      </c>
      <c r="H46" s="3">
        <v>11.7315</v>
      </c>
      <c r="I46" s="3">
        <v>1501.63</v>
      </c>
      <c r="J46" s="2">
        <v>3</v>
      </c>
      <c r="K46" s="15" t="b">
        <v>1</v>
      </c>
      <c r="L46" s="41" t="str">
        <f t="shared" si="8"/>
        <v>238829520 -&gt; 5990070#1 | t=600</v>
      </c>
      <c r="M46" s="6" t="str">
        <f t="shared" si="9"/>
        <v>2 min 09 s</v>
      </c>
      <c r="N46" s="6">
        <f t="shared" si="10"/>
        <v>42.233400000000003</v>
      </c>
      <c r="O46" s="7">
        <f t="shared" si="11"/>
        <v>1.50163</v>
      </c>
      <c r="P46" s="29">
        <f t="shared" si="12"/>
        <v>2.4118589743589744E-3</v>
      </c>
      <c r="Q46" s="41" t="str">
        <f t="shared" si="13"/>
        <v>1 min 19 s</v>
      </c>
      <c r="R46" s="35">
        <f t="shared" si="14"/>
        <v>0.38095238095238093</v>
      </c>
      <c r="S46" s="6" t="str">
        <f t="shared" si="15"/>
        <v>Mejora</v>
      </c>
    </row>
    <row r="47" spans="1:19" x14ac:dyDescent="0.3">
      <c r="A47" s="38" t="s">
        <v>11</v>
      </c>
      <c r="B47" s="41" t="s">
        <v>12</v>
      </c>
      <c r="C47" s="41" t="s">
        <v>20</v>
      </c>
      <c r="D47" s="2">
        <v>600</v>
      </c>
      <c r="E47" s="2">
        <v>189</v>
      </c>
      <c r="F47" s="2">
        <v>129</v>
      </c>
      <c r="G47" s="2">
        <v>0</v>
      </c>
      <c r="H47" s="3">
        <v>11.7315</v>
      </c>
      <c r="I47" s="3">
        <v>1501.63</v>
      </c>
      <c r="J47" s="2">
        <v>3</v>
      </c>
      <c r="K47" s="15" t="b">
        <v>1</v>
      </c>
      <c r="L47" s="41" t="str">
        <f t="shared" si="8"/>
        <v>238829520 -&gt; 5990070#1 | t=600</v>
      </c>
      <c r="M47" s="6" t="str">
        <f t="shared" si="9"/>
        <v>2 min 09 s</v>
      </c>
      <c r="N47" s="6">
        <f t="shared" si="10"/>
        <v>42.233400000000003</v>
      </c>
      <c r="O47" s="7">
        <f t="shared" si="11"/>
        <v>1.50163</v>
      </c>
      <c r="P47" s="29">
        <f t="shared" si="12"/>
        <v>2.4118589743589744E-3</v>
      </c>
      <c r="Q47" s="41" t="str">
        <f t="shared" si="13"/>
        <v>1 min 19 s</v>
      </c>
      <c r="R47" s="35">
        <f t="shared" si="14"/>
        <v>0.38095238095238093</v>
      </c>
      <c r="S47" s="6" t="str">
        <f t="shared" si="15"/>
        <v>Mejora</v>
      </c>
    </row>
    <row r="48" spans="1:19" x14ac:dyDescent="0.3">
      <c r="A48" s="38" t="s">
        <v>11</v>
      </c>
      <c r="B48" s="41" t="s">
        <v>12</v>
      </c>
      <c r="C48" s="41" t="s">
        <v>20</v>
      </c>
      <c r="D48" s="2">
        <v>600</v>
      </c>
      <c r="E48" s="2">
        <v>258</v>
      </c>
      <c r="F48" s="2">
        <v>198</v>
      </c>
      <c r="G48" s="2">
        <v>0</v>
      </c>
      <c r="H48" s="3">
        <v>10.57922374</v>
      </c>
      <c r="I48" s="3">
        <v>1493.11</v>
      </c>
      <c r="J48" s="2">
        <v>4</v>
      </c>
      <c r="K48" s="15" t="b">
        <v>1</v>
      </c>
      <c r="L48" s="41" t="str">
        <f t="shared" si="8"/>
        <v>238829520 -&gt; 5990070#1 | t=600</v>
      </c>
      <c r="M48" s="6" t="str">
        <f t="shared" si="9"/>
        <v>3 min 18 s</v>
      </c>
      <c r="N48" s="6">
        <f t="shared" si="10"/>
        <v>38.085205463999998</v>
      </c>
      <c r="O48" s="7">
        <f t="shared" si="11"/>
        <v>1.4931099999999999</v>
      </c>
      <c r="P48" s="29">
        <f t="shared" si="12"/>
        <v>2.4118589743589744E-3</v>
      </c>
      <c r="Q48" s="41" t="str">
        <f t="shared" si="13"/>
        <v>0 min 10 s</v>
      </c>
      <c r="R48" s="35">
        <f t="shared" si="14"/>
        <v>4.9833887043189369E-2</v>
      </c>
      <c r="S48" s="6" t="str">
        <f t="shared" si="15"/>
        <v>Mejora</v>
      </c>
    </row>
    <row r="49" spans="1:19" x14ac:dyDescent="0.3">
      <c r="A49" s="38" t="s">
        <v>14</v>
      </c>
      <c r="B49" s="41" t="s">
        <v>12</v>
      </c>
      <c r="C49" s="41" t="s">
        <v>20</v>
      </c>
      <c r="D49" s="2">
        <v>600</v>
      </c>
      <c r="E49" s="2">
        <v>312</v>
      </c>
      <c r="F49" s="2">
        <v>252</v>
      </c>
      <c r="G49" s="2">
        <v>0</v>
      </c>
      <c r="H49" s="3">
        <v>5.9766866500000004</v>
      </c>
      <c r="I49" s="3">
        <v>1500.15</v>
      </c>
      <c r="J49" s="2">
        <v>0</v>
      </c>
      <c r="K49" s="15" t="b">
        <v>1</v>
      </c>
      <c r="L49" s="41" t="str">
        <f t="shared" si="8"/>
        <v>238829520 -&gt; 5990070#1 | t=600</v>
      </c>
      <c r="M49" s="6" t="str">
        <f t="shared" si="9"/>
        <v>4 min 12 s</v>
      </c>
      <c r="N49" s="6">
        <f t="shared" si="10"/>
        <v>21.516071940000003</v>
      </c>
      <c r="O49" s="7">
        <f t="shared" si="11"/>
        <v>1.5001500000000001</v>
      </c>
      <c r="P49" s="29">
        <f t="shared" si="12"/>
        <v>2.4118589743589744E-3</v>
      </c>
      <c r="Q49" s="41" t="str">
        <f t="shared" si="13"/>
        <v/>
      </c>
      <c r="R49" s="35" t="str">
        <f t="shared" si="14"/>
        <v/>
      </c>
      <c r="S49" s="6" t="str">
        <f t="shared" si="15"/>
        <v>Referencia</v>
      </c>
    </row>
    <row r="50" spans="1:19" x14ac:dyDescent="0.3">
      <c r="A50" s="38" t="s">
        <v>14</v>
      </c>
      <c r="B50" s="41" t="s">
        <v>12</v>
      </c>
      <c r="C50" s="41" t="s">
        <v>20</v>
      </c>
      <c r="D50" s="2">
        <v>3600</v>
      </c>
      <c r="E50" s="2">
        <v>614</v>
      </c>
      <c r="F50" s="2">
        <v>254</v>
      </c>
      <c r="G50" s="2">
        <v>0</v>
      </c>
      <c r="H50" s="3">
        <v>5.9230284600000003</v>
      </c>
      <c r="I50" s="3">
        <v>1498.53</v>
      </c>
      <c r="J50" s="2">
        <v>0</v>
      </c>
      <c r="K50" s="15" t="b">
        <v>1</v>
      </c>
      <c r="L50" s="41" t="str">
        <f t="shared" si="8"/>
        <v>238829520 -&gt; 5990070#1 | t=3600</v>
      </c>
      <c r="M50" s="6" t="str">
        <f t="shared" si="9"/>
        <v>4 min 14 s</v>
      </c>
      <c r="N50" s="6">
        <f t="shared" si="10"/>
        <v>21.322902456000001</v>
      </c>
      <c r="O50" s="7">
        <f t="shared" si="11"/>
        <v>1.4985299999999999</v>
      </c>
      <c r="P50" s="29">
        <f t="shared" si="12"/>
        <v>2.3394097222222223E-3</v>
      </c>
      <c r="Q50" s="41" t="str">
        <f t="shared" si="13"/>
        <v/>
      </c>
      <c r="R50" s="35" t="str">
        <f t="shared" si="14"/>
        <v/>
      </c>
      <c r="S50" s="6" t="str">
        <f t="shared" si="15"/>
        <v>Referencia</v>
      </c>
    </row>
    <row r="51" spans="1:19" x14ac:dyDescent="0.3">
      <c r="A51" s="38" t="s">
        <v>11</v>
      </c>
      <c r="B51" s="41" t="s">
        <v>12</v>
      </c>
      <c r="C51" s="41" t="s">
        <v>20</v>
      </c>
      <c r="D51" s="2">
        <v>3600</v>
      </c>
      <c r="E51" s="2">
        <v>531</v>
      </c>
      <c r="F51" s="2">
        <v>171</v>
      </c>
      <c r="G51" s="2">
        <v>0</v>
      </c>
      <c r="H51" s="3">
        <v>8.8265369899999992</v>
      </c>
      <c r="I51" s="3">
        <v>1500.51</v>
      </c>
      <c r="J51" s="2">
        <v>3</v>
      </c>
      <c r="K51" s="15" t="b">
        <v>1</v>
      </c>
      <c r="L51" s="41" t="str">
        <f t="shared" si="8"/>
        <v>238829520 -&gt; 5990070#1 | t=3600</v>
      </c>
      <c r="M51" s="6" t="str">
        <f t="shared" si="9"/>
        <v>2 min 51 s</v>
      </c>
      <c r="N51" s="6">
        <f t="shared" si="10"/>
        <v>31.775533163999999</v>
      </c>
      <c r="O51" s="7">
        <f t="shared" si="11"/>
        <v>1.50051</v>
      </c>
      <c r="P51" s="29">
        <f t="shared" si="12"/>
        <v>2.3394097222222223E-3</v>
      </c>
      <c r="Q51" s="41" t="str">
        <f t="shared" si="13"/>
        <v>0 min 31 s</v>
      </c>
      <c r="R51" s="35">
        <f t="shared" si="14"/>
        <v>0.15398886827458252</v>
      </c>
      <c r="S51" s="6" t="str">
        <f t="shared" si="15"/>
        <v>Mejora</v>
      </c>
    </row>
    <row r="52" spans="1:19" x14ac:dyDescent="0.3">
      <c r="A52" s="38" t="s">
        <v>14</v>
      </c>
      <c r="B52" s="41" t="s">
        <v>12</v>
      </c>
      <c r="C52" s="41" t="s">
        <v>20</v>
      </c>
      <c r="D52" s="2">
        <v>3600</v>
      </c>
      <c r="E52" s="2">
        <v>544</v>
      </c>
      <c r="F52" s="2">
        <v>184</v>
      </c>
      <c r="G52" s="2">
        <v>0</v>
      </c>
      <c r="H52" s="3">
        <v>8.2251506400000007</v>
      </c>
      <c r="I52" s="3">
        <v>1505.200002</v>
      </c>
      <c r="J52" s="2">
        <v>0</v>
      </c>
      <c r="K52" s="15" t="b">
        <v>1</v>
      </c>
      <c r="L52" s="41" t="str">
        <f t="shared" si="8"/>
        <v>238829520 -&gt; 5990070#1 | t=3600</v>
      </c>
      <c r="M52" s="6" t="str">
        <f t="shared" si="9"/>
        <v>3 min 04 s</v>
      </c>
      <c r="N52" s="6">
        <f t="shared" si="10"/>
        <v>29.610542304000003</v>
      </c>
      <c r="O52" s="7">
        <f t="shared" si="11"/>
        <v>1.505200002</v>
      </c>
      <c r="P52" s="29">
        <f t="shared" si="12"/>
        <v>2.3394097222222223E-3</v>
      </c>
      <c r="Q52" s="41" t="str">
        <f t="shared" si="13"/>
        <v/>
      </c>
      <c r="R52" s="35" t="str">
        <f t="shared" si="14"/>
        <v/>
      </c>
      <c r="S52" s="6" t="str">
        <f t="shared" si="15"/>
        <v>Referencia</v>
      </c>
    </row>
    <row r="53" spans="1:19" x14ac:dyDescent="0.3">
      <c r="A53" s="38" t="s">
        <v>14</v>
      </c>
      <c r="B53" s="41" t="s">
        <v>12</v>
      </c>
      <c r="C53" s="41" t="s">
        <v>20</v>
      </c>
      <c r="D53" s="2">
        <v>3600</v>
      </c>
      <c r="E53" s="2">
        <v>544</v>
      </c>
      <c r="F53" s="2">
        <v>184</v>
      </c>
      <c r="G53" s="2">
        <v>0</v>
      </c>
      <c r="H53" s="3">
        <v>8.2251506400000007</v>
      </c>
      <c r="I53" s="3">
        <v>1505.202567</v>
      </c>
      <c r="J53" s="2">
        <v>0</v>
      </c>
      <c r="K53" s="15" t="b">
        <v>1</v>
      </c>
      <c r="L53" s="41" t="str">
        <f t="shared" si="8"/>
        <v>238829520 -&gt; 5990070#1 | t=3600</v>
      </c>
      <c r="M53" s="6" t="str">
        <f t="shared" si="9"/>
        <v>3 min 04 s</v>
      </c>
      <c r="N53" s="6">
        <f t="shared" si="10"/>
        <v>29.610542304000003</v>
      </c>
      <c r="O53" s="7">
        <f t="shared" si="11"/>
        <v>1.505202567</v>
      </c>
      <c r="P53" s="29">
        <f t="shared" si="12"/>
        <v>2.3394097222222223E-3</v>
      </c>
      <c r="Q53" s="41" t="str">
        <f t="shared" si="13"/>
        <v/>
      </c>
      <c r="R53" s="35" t="str">
        <f t="shared" si="14"/>
        <v/>
      </c>
      <c r="S53" s="6" t="str">
        <f t="shared" si="15"/>
        <v>Referencia</v>
      </c>
    </row>
    <row r="54" spans="1:19" x14ac:dyDescent="0.3">
      <c r="A54" s="38" t="s">
        <v>14</v>
      </c>
      <c r="B54" s="41" t="s">
        <v>12</v>
      </c>
      <c r="C54" s="41" t="s">
        <v>20</v>
      </c>
      <c r="D54" s="2">
        <v>3600</v>
      </c>
      <c r="E54" s="2">
        <v>522</v>
      </c>
      <c r="F54" s="2">
        <v>162</v>
      </c>
      <c r="G54" s="2">
        <v>0</v>
      </c>
      <c r="H54" s="3">
        <v>9.3348322899999996</v>
      </c>
      <c r="I54" s="3">
        <v>1502.9079979999999</v>
      </c>
      <c r="J54" s="2">
        <v>0</v>
      </c>
      <c r="K54" s="15" t="b">
        <v>1</v>
      </c>
      <c r="L54" s="41" t="str">
        <f t="shared" si="8"/>
        <v>238829520 -&gt; 5990070#1 | t=3600</v>
      </c>
      <c r="M54" s="6" t="str">
        <f t="shared" si="9"/>
        <v>2 min 42 s</v>
      </c>
      <c r="N54" s="6">
        <f t="shared" si="10"/>
        <v>33.605396243999998</v>
      </c>
      <c r="O54" s="7">
        <f t="shared" si="11"/>
        <v>1.502907998</v>
      </c>
      <c r="P54" s="29">
        <f t="shared" si="12"/>
        <v>2.3394097222222223E-3</v>
      </c>
      <c r="Q54" s="41" t="str">
        <f t="shared" si="13"/>
        <v/>
      </c>
      <c r="R54" s="35" t="str">
        <f t="shared" si="14"/>
        <v/>
      </c>
      <c r="S54" s="6" t="str">
        <f t="shared" si="15"/>
        <v>Referencia</v>
      </c>
    </row>
    <row r="55" spans="1:19" x14ac:dyDescent="0.3">
      <c r="A55" s="38" t="s">
        <v>11</v>
      </c>
      <c r="B55" s="41" t="s">
        <v>12</v>
      </c>
      <c r="C55" s="41" t="s">
        <v>20</v>
      </c>
      <c r="D55" s="2">
        <v>3600</v>
      </c>
      <c r="E55" s="2">
        <v>485</v>
      </c>
      <c r="F55" s="2">
        <v>125</v>
      </c>
      <c r="G55" s="2">
        <v>0</v>
      </c>
      <c r="H55" s="3">
        <v>12.102760379999999</v>
      </c>
      <c r="I55" s="3">
        <v>1500.742287</v>
      </c>
      <c r="J55" s="2">
        <v>4</v>
      </c>
      <c r="K55" s="15" t="b">
        <v>1</v>
      </c>
      <c r="L55" s="41" t="str">
        <f t="shared" si="8"/>
        <v>238829520 -&gt; 5990070#1 | t=3600</v>
      </c>
      <c r="M55" s="6" t="str">
        <f t="shared" si="9"/>
        <v>2 min 05 s</v>
      </c>
      <c r="N55" s="6">
        <f t="shared" si="10"/>
        <v>43.569937367999998</v>
      </c>
      <c r="O55" s="7">
        <f t="shared" si="11"/>
        <v>1.500742287</v>
      </c>
      <c r="P55" s="29">
        <f t="shared" si="12"/>
        <v>2.3394097222222223E-3</v>
      </c>
      <c r="Q55" s="41" t="str">
        <f t="shared" si="13"/>
        <v>1 min 17 s</v>
      </c>
      <c r="R55" s="35">
        <f t="shared" si="14"/>
        <v>0.38157081014223876</v>
      </c>
      <c r="S55" s="6" t="str">
        <f t="shared" si="15"/>
        <v>Mejora</v>
      </c>
    </row>
    <row r="56" spans="1:19" x14ac:dyDescent="0.3">
      <c r="A56" s="38" t="s">
        <v>11</v>
      </c>
      <c r="B56" s="41" t="s">
        <v>12</v>
      </c>
      <c r="C56" s="41" t="s">
        <v>20</v>
      </c>
      <c r="D56" s="2">
        <v>3600</v>
      </c>
      <c r="E56" s="2">
        <v>531</v>
      </c>
      <c r="F56" s="2">
        <v>171</v>
      </c>
      <c r="G56" s="2">
        <v>0</v>
      </c>
      <c r="H56" s="3">
        <v>8.8403467379999991</v>
      </c>
      <c r="I56" s="3">
        <v>1502.8589460000001</v>
      </c>
      <c r="J56" s="2">
        <v>3</v>
      </c>
      <c r="K56" s="15" t="b">
        <v>1</v>
      </c>
      <c r="L56" s="41" t="str">
        <f t="shared" si="8"/>
        <v>238829520 -&gt; 5990070#1 | t=3600</v>
      </c>
      <c r="M56" s="6" t="str">
        <f t="shared" si="9"/>
        <v>2 min 51 s</v>
      </c>
      <c r="N56" s="6">
        <f t="shared" si="10"/>
        <v>31.825248256799998</v>
      </c>
      <c r="O56" s="7">
        <f t="shared" si="11"/>
        <v>1.5028589460000001</v>
      </c>
      <c r="P56" s="29">
        <f t="shared" si="12"/>
        <v>2.3394097222222223E-3</v>
      </c>
      <c r="Q56" s="41" t="str">
        <f t="shared" si="13"/>
        <v>0 min 31 s</v>
      </c>
      <c r="R56" s="35">
        <f t="shared" si="14"/>
        <v>0.15398886827458252</v>
      </c>
      <c r="S56" s="6" t="str">
        <f t="shared" si="15"/>
        <v>Mejora</v>
      </c>
    </row>
    <row r="57" spans="1:19" x14ac:dyDescent="0.3">
      <c r="A57" s="38" t="s">
        <v>14</v>
      </c>
      <c r="B57" s="41" t="s">
        <v>12</v>
      </c>
      <c r="C57" s="41" t="s">
        <v>20</v>
      </c>
      <c r="D57" s="2">
        <v>3600</v>
      </c>
      <c r="E57" s="2">
        <v>614</v>
      </c>
      <c r="F57" s="2">
        <v>254</v>
      </c>
      <c r="G57" s="2">
        <v>0</v>
      </c>
      <c r="H57" s="3">
        <v>5.9472973610000004</v>
      </c>
      <c r="I57" s="3">
        <v>1504.666232</v>
      </c>
      <c r="J57" s="2">
        <v>0</v>
      </c>
      <c r="K57" s="15" t="b">
        <v>1</v>
      </c>
      <c r="L57" s="41" t="str">
        <f t="shared" si="8"/>
        <v>238829520 -&gt; 5990070#1 | t=3600</v>
      </c>
      <c r="M57" s="6" t="str">
        <f t="shared" si="9"/>
        <v>4 min 14 s</v>
      </c>
      <c r="N57" s="6">
        <f t="shared" si="10"/>
        <v>21.410270499600003</v>
      </c>
      <c r="O57" s="7">
        <f t="shared" si="11"/>
        <v>1.5046662319999999</v>
      </c>
      <c r="P57" s="29">
        <f t="shared" si="12"/>
        <v>2.3394097222222223E-3</v>
      </c>
      <c r="Q57" s="41" t="str">
        <f t="shared" si="13"/>
        <v/>
      </c>
      <c r="R57" s="35" t="str">
        <f t="shared" si="14"/>
        <v/>
      </c>
      <c r="S57" s="6" t="str">
        <f t="shared" si="15"/>
        <v>Referencia</v>
      </c>
    </row>
    <row r="58" spans="1:19" x14ac:dyDescent="0.3">
      <c r="A58" s="38" t="s">
        <v>14</v>
      </c>
      <c r="B58" s="41" t="s">
        <v>12</v>
      </c>
      <c r="C58" s="41" t="s">
        <v>20</v>
      </c>
      <c r="D58" s="2">
        <v>3600</v>
      </c>
      <c r="E58" s="2">
        <v>525</v>
      </c>
      <c r="F58" s="2">
        <v>165</v>
      </c>
      <c r="G58" s="2">
        <v>0</v>
      </c>
      <c r="H58" s="3">
        <v>9.1500804169999999</v>
      </c>
      <c r="I58" s="3">
        <v>1500.613188</v>
      </c>
      <c r="J58" s="2">
        <v>0</v>
      </c>
      <c r="K58" s="15" t="b">
        <v>1</v>
      </c>
      <c r="L58" s="41" t="str">
        <f t="shared" si="8"/>
        <v>238829520 -&gt; 5990070#1 | t=3600</v>
      </c>
      <c r="M58" s="6" t="str">
        <f t="shared" si="9"/>
        <v>2 min 45 s</v>
      </c>
      <c r="N58" s="6">
        <f t="shared" si="10"/>
        <v>32.940289501199999</v>
      </c>
      <c r="O58" s="7">
        <f t="shared" si="11"/>
        <v>1.500613188</v>
      </c>
      <c r="P58" s="29">
        <f t="shared" si="12"/>
        <v>2.3394097222222223E-3</v>
      </c>
      <c r="Q58" s="41" t="str">
        <f t="shared" si="13"/>
        <v/>
      </c>
      <c r="R58" s="35" t="str">
        <f t="shared" si="14"/>
        <v/>
      </c>
      <c r="S58" s="6" t="str">
        <f t="shared" si="15"/>
        <v>Referencia</v>
      </c>
    </row>
    <row r="59" spans="1:19" x14ac:dyDescent="0.3">
      <c r="A59" s="38" t="s">
        <v>14</v>
      </c>
      <c r="B59" s="41" t="s">
        <v>12</v>
      </c>
      <c r="C59" s="41" t="s">
        <v>20</v>
      </c>
      <c r="D59" s="2">
        <v>3600</v>
      </c>
      <c r="E59" s="2">
        <v>525</v>
      </c>
      <c r="F59" s="2">
        <v>165</v>
      </c>
      <c r="G59" s="2">
        <v>0</v>
      </c>
      <c r="H59" s="3">
        <v>9.1500804169999999</v>
      </c>
      <c r="I59" s="3">
        <v>1500.613188</v>
      </c>
      <c r="J59" s="2">
        <v>0</v>
      </c>
      <c r="K59" s="15" t="b">
        <v>1</v>
      </c>
      <c r="L59" s="41" t="str">
        <f t="shared" si="8"/>
        <v>238829520 -&gt; 5990070#1 | t=3600</v>
      </c>
      <c r="M59" s="6" t="str">
        <f t="shared" si="9"/>
        <v>2 min 45 s</v>
      </c>
      <c r="N59" s="6">
        <f t="shared" si="10"/>
        <v>32.940289501199999</v>
      </c>
      <c r="O59" s="7">
        <f t="shared" si="11"/>
        <v>1.500613188</v>
      </c>
      <c r="P59" s="29">
        <f t="shared" si="12"/>
        <v>2.3394097222222223E-3</v>
      </c>
      <c r="Q59" s="41" t="str">
        <f t="shared" si="13"/>
        <v/>
      </c>
      <c r="R59" s="35" t="str">
        <f t="shared" si="14"/>
        <v/>
      </c>
      <c r="S59" s="6" t="str">
        <f t="shared" si="15"/>
        <v>Referencia</v>
      </c>
    </row>
    <row r="60" spans="1:19" x14ac:dyDescent="0.3">
      <c r="A60" s="38" t="s">
        <v>11</v>
      </c>
      <c r="B60" s="41" t="s">
        <v>12</v>
      </c>
      <c r="C60" s="41" t="s">
        <v>20</v>
      </c>
      <c r="D60" s="2">
        <v>3600</v>
      </c>
      <c r="E60" s="2">
        <v>498</v>
      </c>
      <c r="F60" s="2">
        <v>138</v>
      </c>
      <c r="G60" s="2">
        <v>0</v>
      </c>
      <c r="H60" s="3">
        <v>10.985970480000001</v>
      </c>
      <c r="I60" s="3">
        <v>1505.0779560000001</v>
      </c>
      <c r="J60" s="2">
        <v>4</v>
      </c>
      <c r="K60" s="15" t="b">
        <v>1</v>
      </c>
      <c r="L60" s="41" t="str">
        <f t="shared" si="8"/>
        <v>238829520 -&gt; 5990070#1 | t=3600</v>
      </c>
      <c r="M60" s="6" t="str">
        <f t="shared" si="9"/>
        <v>2 min 18 s</v>
      </c>
      <c r="N60" s="6">
        <f t="shared" si="10"/>
        <v>39.549493728000002</v>
      </c>
      <c r="O60" s="7">
        <f t="shared" si="11"/>
        <v>1.5050779560000001</v>
      </c>
      <c r="P60" s="29">
        <f t="shared" si="12"/>
        <v>2.3394097222222223E-3</v>
      </c>
      <c r="Q60" s="41" t="str">
        <f t="shared" si="13"/>
        <v>1 min 04 s</v>
      </c>
      <c r="R60" s="35">
        <f t="shared" si="14"/>
        <v>0.31725417439703152</v>
      </c>
      <c r="S60" s="6" t="str">
        <f t="shared" si="15"/>
        <v>Mejora</v>
      </c>
    </row>
    <row r="61" spans="1:19" x14ac:dyDescent="0.3">
      <c r="A61" s="38" t="s">
        <v>11</v>
      </c>
      <c r="B61" s="41" t="s">
        <v>12</v>
      </c>
      <c r="C61" s="41" t="s">
        <v>20</v>
      </c>
      <c r="D61" s="2">
        <v>3600</v>
      </c>
      <c r="E61" s="2">
        <v>490</v>
      </c>
      <c r="F61" s="2">
        <v>130</v>
      </c>
      <c r="G61" s="2">
        <v>0</v>
      </c>
      <c r="H61" s="3">
        <v>11.656832550000001</v>
      </c>
      <c r="I61" s="3">
        <v>1503.731399</v>
      </c>
      <c r="J61" s="2">
        <v>3</v>
      </c>
      <c r="K61" s="15" t="b">
        <v>1</v>
      </c>
      <c r="L61" s="41" t="str">
        <f t="shared" si="8"/>
        <v>238829520 -&gt; 5990070#1 | t=3600</v>
      </c>
      <c r="M61" s="6" t="str">
        <f t="shared" si="9"/>
        <v>2 min 10 s</v>
      </c>
      <c r="N61" s="6">
        <f t="shared" si="10"/>
        <v>41.964597180000005</v>
      </c>
      <c r="O61" s="7">
        <f t="shared" si="11"/>
        <v>1.5037313990000001</v>
      </c>
      <c r="P61" s="29">
        <f t="shared" si="12"/>
        <v>2.3394097222222223E-3</v>
      </c>
      <c r="Q61" s="41" t="str">
        <f t="shared" si="13"/>
        <v>1 min 12 s</v>
      </c>
      <c r="R61" s="35">
        <f t="shared" si="14"/>
        <v>0.35683364254792826</v>
      </c>
      <c r="S61" s="6" t="str">
        <f t="shared" si="15"/>
        <v>Mejora</v>
      </c>
    </row>
    <row r="62" spans="1:19" x14ac:dyDescent="0.3">
      <c r="A62" s="38" t="s">
        <v>14</v>
      </c>
      <c r="B62" s="41" t="s">
        <v>12</v>
      </c>
      <c r="C62" s="41" t="s">
        <v>20</v>
      </c>
      <c r="D62" s="2">
        <v>3600</v>
      </c>
      <c r="E62" s="2">
        <v>609</v>
      </c>
      <c r="F62" s="2">
        <v>249</v>
      </c>
      <c r="G62" s="2">
        <v>0</v>
      </c>
      <c r="H62" s="3">
        <v>6.0625141920000001</v>
      </c>
      <c r="I62" s="3">
        <v>1503.50352</v>
      </c>
      <c r="J62" s="2">
        <v>0</v>
      </c>
      <c r="K62" s="15" t="b">
        <v>1</v>
      </c>
      <c r="L62" s="41" t="str">
        <f t="shared" si="8"/>
        <v>238829520 -&gt; 5990070#1 | t=3600</v>
      </c>
      <c r="M62" s="6" t="str">
        <f t="shared" si="9"/>
        <v>4 min 09 s</v>
      </c>
      <c r="N62" s="6">
        <f t="shared" si="10"/>
        <v>21.825051091200002</v>
      </c>
      <c r="O62" s="7">
        <f t="shared" si="11"/>
        <v>1.50350352</v>
      </c>
      <c r="P62" s="29">
        <f t="shared" si="12"/>
        <v>2.3394097222222223E-3</v>
      </c>
      <c r="Q62" s="41" t="str">
        <f t="shared" si="13"/>
        <v/>
      </c>
      <c r="R62" s="35" t="str">
        <f t="shared" si="14"/>
        <v/>
      </c>
      <c r="S62" s="6" t="str">
        <f t="shared" si="15"/>
        <v>Referencia</v>
      </c>
    </row>
    <row r="63" spans="1:19" x14ac:dyDescent="0.3">
      <c r="A63" s="38" t="s">
        <v>11</v>
      </c>
      <c r="B63" s="41" t="s">
        <v>12</v>
      </c>
      <c r="C63" s="41" t="s">
        <v>20</v>
      </c>
      <c r="D63" s="2">
        <v>3600</v>
      </c>
      <c r="E63" s="2">
        <v>525</v>
      </c>
      <c r="F63" s="2">
        <v>165</v>
      </c>
      <c r="G63" s="2">
        <v>0</v>
      </c>
      <c r="H63" s="3">
        <v>9.1597434189999998</v>
      </c>
      <c r="I63" s="3">
        <v>1502.197921</v>
      </c>
      <c r="J63" s="2">
        <v>3</v>
      </c>
      <c r="K63" s="15" t="b">
        <v>1</v>
      </c>
      <c r="L63" s="41" t="str">
        <f t="shared" si="8"/>
        <v>238829520 -&gt; 5990070#1 | t=3600</v>
      </c>
      <c r="M63" s="6" t="str">
        <f t="shared" si="9"/>
        <v>2 min 45 s</v>
      </c>
      <c r="N63" s="6">
        <f t="shared" si="10"/>
        <v>32.975076308399998</v>
      </c>
      <c r="O63" s="7">
        <f t="shared" si="11"/>
        <v>1.502197921</v>
      </c>
      <c r="P63" s="29">
        <f t="shared" si="12"/>
        <v>2.3394097222222223E-3</v>
      </c>
      <c r="Q63" s="41" t="str">
        <f t="shared" si="13"/>
        <v>0 min 37 s</v>
      </c>
      <c r="R63" s="35">
        <f t="shared" si="14"/>
        <v>0.18367346938775517</v>
      </c>
      <c r="S63" s="6" t="str">
        <f t="shared" si="15"/>
        <v>Mejora</v>
      </c>
    </row>
    <row r="64" spans="1:19" x14ac:dyDescent="0.3">
      <c r="A64" s="38" t="s">
        <v>11</v>
      </c>
      <c r="B64" s="41" t="s">
        <v>12</v>
      </c>
      <c r="C64" s="41" t="s">
        <v>21</v>
      </c>
      <c r="D64" s="2">
        <v>3600</v>
      </c>
      <c r="E64" s="2">
        <v>621</v>
      </c>
      <c r="F64" s="2">
        <v>261</v>
      </c>
      <c r="G64" s="2">
        <v>0</v>
      </c>
      <c r="H64" s="3">
        <v>7.0723094580000003</v>
      </c>
      <c r="I64" s="3">
        <v>1838.800459</v>
      </c>
      <c r="J64" s="2">
        <v>2</v>
      </c>
      <c r="K64" s="15" t="b">
        <v>1</v>
      </c>
      <c r="L64" s="41" t="str">
        <f t="shared" si="8"/>
        <v>238829520 -&gt; 5989317 | t=3600</v>
      </c>
      <c r="M64" s="6" t="str">
        <f t="shared" si="9"/>
        <v>4 min 21 s</v>
      </c>
      <c r="N64" s="6">
        <f t="shared" si="10"/>
        <v>25.460314048800001</v>
      </c>
      <c r="O64" s="7">
        <f t="shared" si="11"/>
        <v>1.838800459</v>
      </c>
      <c r="P64" s="29">
        <f t="shared" si="12"/>
        <v>3.0468750000000001E-3</v>
      </c>
      <c r="Q64" s="41" t="str">
        <f t="shared" si="13"/>
        <v>0 min 02 s</v>
      </c>
      <c r="R64" s="35">
        <f t="shared" si="14"/>
        <v>8.5470085470086016E-3</v>
      </c>
      <c r="S64" s="6" t="str">
        <f t="shared" si="15"/>
        <v>Mejora</v>
      </c>
    </row>
    <row r="65" spans="1:19" x14ac:dyDescent="0.3">
      <c r="A65" s="38" t="s">
        <v>14</v>
      </c>
      <c r="B65" s="41" t="s">
        <v>12</v>
      </c>
      <c r="C65" s="41" t="s">
        <v>21</v>
      </c>
      <c r="D65" s="2">
        <v>3600</v>
      </c>
      <c r="E65" s="2">
        <v>493</v>
      </c>
      <c r="F65" s="2">
        <v>133</v>
      </c>
      <c r="G65" s="2">
        <v>0</v>
      </c>
      <c r="H65" s="3">
        <v>14.00276483</v>
      </c>
      <c r="I65" s="3">
        <v>1848.3649579999999</v>
      </c>
      <c r="J65" s="2">
        <v>0</v>
      </c>
      <c r="K65" s="15" t="b">
        <v>1</v>
      </c>
      <c r="L65" s="41" t="str">
        <f t="shared" si="8"/>
        <v>238829520 -&gt; 5989317 | t=3600</v>
      </c>
      <c r="M65" s="6" t="str">
        <f t="shared" si="9"/>
        <v>2 min 13 s</v>
      </c>
      <c r="N65" s="6">
        <f t="shared" si="10"/>
        <v>50.409953388000005</v>
      </c>
      <c r="O65" s="7">
        <f t="shared" si="11"/>
        <v>1.8483649579999999</v>
      </c>
      <c r="P65" s="29">
        <f t="shared" si="12"/>
        <v>3.0468750000000001E-3</v>
      </c>
      <c r="Q65" s="41" t="str">
        <f t="shared" si="13"/>
        <v/>
      </c>
      <c r="R65" s="35" t="str">
        <f t="shared" si="14"/>
        <v/>
      </c>
      <c r="S65" s="6" t="str">
        <f t="shared" si="15"/>
        <v>Referencia</v>
      </c>
    </row>
    <row r="66" spans="1:19" x14ac:dyDescent="0.3">
      <c r="A66" s="38" t="s">
        <v>11</v>
      </c>
      <c r="B66" s="41" t="s">
        <v>12</v>
      </c>
      <c r="C66" s="41" t="s">
        <v>21</v>
      </c>
      <c r="D66" s="2">
        <v>3600</v>
      </c>
      <c r="E66" s="2">
        <v>697</v>
      </c>
      <c r="F66" s="2">
        <v>337</v>
      </c>
      <c r="G66" s="2">
        <v>0</v>
      </c>
      <c r="H66" s="3">
        <v>5.4963146409999997</v>
      </c>
      <c r="I66" s="3">
        <v>1846.76172</v>
      </c>
      <c r="J66" s="2">
        <v>2</v>
      </c>
      <c r="K66" s="15" t="b">
        <v>1</v>
      </c>
      <c r="L66" s="41" t="str">
        <f t="shared" ref="L66:L97" si="16">B66&amp;" -&gt; "&amp;C66&amp;" | t="&amp;D66</f>
        <v>238829520 -&gt; 5989317 | t=3600</v>
      </c>
      <c r="M66" s="6" t="str">
        <f t="shared" ref="M66:M97" si="17">INT(F66/60)&amp;" min "&amp;TEXT(MOD(F66,60),"00")&amp;" s"</f>
        <v>5 min 37 s</v>
      </c>
      <c r="N66" s="6">
        <f t="shared" ref="N66:N97" si="18">H66*3.6</f>
        <v>19.786732707599999</v>
      </c>
      <c r="O66" s="7">
        <f t="shared" ref="O66:O97" si="19">I66/1000</f>
        <v>1.8467617199999999</v>
      </c>
      <c r="P66" s="29">
        <f t="shared" ref="P66:P97" si="20">IFERROR(AVERAGEIFS($F:$F,$A:$A,"base",$B:$B,B66,$C:$C,C66,$D:$D,D66,$K:$K,"VERDADERO")/86400,"")</f>
        <v>3.0468750000000001E-3</v>
      </c>
      <c r="Q66" s="41" t="str">
        <f t="shared" ref="Q66:Q97" si="21">IF(OR(A66&lt;&gt;"inteligente",K66&lt;&gt;TRUE,P66=""),"",IF(P66-F66/86400&lt;0,"-","")&amp;INT(ABS(P66-F66/86400)*1440)&amp;" min "&amp;TEXT(MOD(ABS(P66-F66/86400)*86400,60),"00")&amp;" s")</f>
        <v>-1 min 14 s</v>
      </c>
      <c r="R66" s="35">
        <f t="shared" ref="R66:R97" si="22">IF(OR(A66&lt;&gt;"inteligente",K66&lt;&gt;TRUE,P66=""),"",(P66-F66/86400)/P66)</f>
        <v>-0.28015194681861338</v>
      </c>
      <c r="S66" s="6" t="str">
        <f t="shared" ref="S66:S97" si="23">IF(K66&lt;&gt;TRUE,"No llega",IF(A66="base","Referencia",IF(R66="","Sin referencia",IF(R66&gt;0,"Mejora",IF(R66&lt;0,"Empeora","Igual")))))</f>
        <v>Empeora</v>
      </c>
    </row>
    <row r="67" spans="1:19" x14ac:dyDescent="0.3">
      <c r="A67" s="38" t="s">
        <v>11</v>
      </c>
      <c r="B67" s="41" t="s">
        <v>12</v>
      </c>
      <c r="C67" s="41" t="s">
        <v>21</v>
      </c>
      <c r="D67" s="2">
        <v>3600</v>
      </c>
      <c r="E67" s="2">
        <v>785</v>
      </c>
      <c r="F67" s="2">
        <v>425</v>
      </c>
      <c r="G67" s="2">
        <v>0</v>
      </c>
      <c r="H67" s="3">
        <v>4.3352151919999997</v>
      </c>
      <c r="I67" s="3">
        <v>1838.1312419999999</v>
      </c>
      <c r="J67" s="2">
        <v>5</v>
      </c>
      <c r="K67" s="15" t="b">
        <v>1</v>
      </c>
      <c r="L67" s="41" t="str">
        <f t="shared" si="16"/>
        <v>238829520 -&gt; 5989317 | t=3600</v>
      </c>
      <c r="M67" s="6" t="str">
        <f t="shared" si="17"/>
        <v>7 min 05 s</v>
      </c>
      <c r="N67" s="6">
        <f t="shared" si="18"/>
        <v>15.6067746912</v>
      </c>
      <c r="O67" s="7">
        <f t="shared" si="19"/>
        <v>1.838131242</v>
      </c>
      <c r="P67" s="29">
        <f t="shared" si="20"/>
        <v>3.0468750000000001E-3</v>
      </c>
      <c r="Q67" s="41" t="str">
        <f t="shared" si="21"/>
        <v>-2 min 42 s</v>
      </c>
      <c r="R67" s="35">
        <f t="shared" si="22"/>
        <v>-0.61443494776828111</v>
      </c>
      <c r="S67" s="6" t="str">
        <f t="shared" si="23"/>
        <v>Empeora</v>
      </c>
    </row>
    <row r="68" spans="1:19" x14ac:dyDescent="0.3">
      <c r="A68" s="38" t="s">
        <v>14</v>
      </c>
      <c r="B68" s="41" t="s">
        <v>12</v>
      </c>
      <c r="C68" s="41" t="s">
        <v>21</v>
      </c>
      <c r="D68" s="2">
        <v>3600</v>
      </c>
      <c r="E68" s="2">
        <v>664</v>
      </c>
      <c r="F68" s="2">
        <v>304</v>
      </c>
      <c r="G68" s="2">
        <v>0</v>
      </c>
      <c r="H68" s="3">
        <v>6.0595821550000002</v>
      </c>
      <c r="I68" s="3">
        <v>1836.0533929999999</v>
      </c>
      <c r="J68" s="2">
        <v>0</v>
      </c>
      <c r="K68" s="15" t="b">
        <v>1</v>
      </c>
      <c r="L68" s="41" t="str">
        <f t="shared" si="16"/>
        <v>238829520 -&gt; 5989317 | t=3600</v>
      </c>
      <c r="M68" s="6" t="str">
        <f t="shared" si="17"/>
        <v>5 min 04 s</v>
      </c>
      <c r="N68" s="6">
        <f t="shared" si="18"/>
        <v>21.814495758</v>
      </c>
      <c r="O68" s="7">
        <f t="shared" si="19"/>
        <v>1.8360533929999998</v>
      </c>
      <c r="P68" s="29">
        <f t="shared" si="20"/>
        <v>3.0468750000000001E-3</v>
      </c>
      <c r="Q68" s="41" t="str">
        <f t="shared" si="21"/>
        <v/>
      </c>
      <c r="R68" s="35" t="str">
        <f t="shared" si="22"/>
        <v/>
      </c>
      <c r="S68" s="6" t="str">
        <f t="shared" si="23"/>
        <v>Referencia</v>
      </c>
    </row>
    <row r="69" spans="1:19" x14ac:dyDescent="0.3">
      <c r="A69" s="38" t="s">
        <v>14</v>
      </c>
      <c r="B69" s="41" t="s">
        <v>12</v>
      </c>
      <c r="C69" s="41" t="s">
        <v>21</v>
      </c>
      <c r="D69" s="2">
        <v>2000</v>
      </c>
      <c r="E69" s="2">
        <v>421</v>
      </c>
      <c r="F69" s="2">
        <v>221</v>
      </c>
      <c r="G69" s="2">
        <v>0</v>
      </c>
      <c r="H69" s="3">
        <v>8.4029324970000001</v>
      </c>
      <c r="I69" s="3">
        <v>1848.6451489999999</v>
      </c>
      <c r="J69" s="2">
        <v>0</v>
      </c>
      <c r="K69" s="15" t="b">
        <v>1</v>
      </c>
      <c r="L69" s="41" t="str">
        <f t="shared" si="16"/>
        <v>238829520 -&gt; 5989317 | t=2000</v>
      </c>
      <c r="M69" s="6" t="str">
        <f t="shared" si="17"/>
        <v>3 min 41 s</v>
      </c>
      <c r="N69" s="6">
        <f t="shared" si="18"/>
        <v>30.2505569892</v>
      </c>
      <c r="O69" s="7">
        <f t="shared" si="19"/>
        <v>1.848645149</v>
      </c>
      <c r="P69" s="29">
        <f t="shared" si="20"/>
        <v>2.5578703703703705E-3</v>
      </c>
      <c r="Q69" s="41" t="str">
        <f t="shared" si="21"/>
        <v/>
      </c>
      <c r="R69" s="35" t="str">
        <f t="shared" si="22"/>
        <v/>
      </c>
      <c r="S69" s="6" t="str">
        <f t="shared" si="23"/>
        <v>Referencia</v>
      </c>
    </row>
    <row r="70" spans="1:19" x14ac:dyDescent="0.3">
      <c r="A70" s="38" t="s">
        <v>11</v>
      </c>
      <c r="B70" s="41" t="s">
        <v>12</v>
      </c>
      <c r="C70" s="41" t="s">
        <v>21</v>
      </c>
      <c r="D70" s="2">
        <v>2000</v>
      </c>
      <c r="E70" s="2">
        <v>388</v>
      </c>
      <c r="F70" s="2">
        <v>188</v>
      </c>
      <c r="G70" s="2">
        <v>0</v>
      </c>
      <c r="H70" s="3">
        <v>9.8680620880000003</v>
      </c>
      <c r="I70" s="3">
        <v>1845.3276109999999</v>
      </c>
      <c r="J70" s="2">
        <v>5</v>
      </c>
      <c r="K70" s="15" t="b">
        <v>1</v>
      </c>
      <c r="L70" s="41" t="str">
        <f t="shared" si="16"/>
        <v>238829520 -&gt; 5989317 | t=2000</v>
      </c>
      <c r="M70" s="6" t="str">
        <f t="shared" si="17"/>
        <v>3 min 08 s</v>
      </c>
      <c r="N70" s="6">
        <f t="shared" si="18"/>
        <v>35.525023516800005</v>
      </c>
      <c r="O70" s="7">
        <f t="shared" si="19"/>
        <v>1.8453276109999999</v>
      </c>
      <c r="P70" s="29">
        <f t="shared" si="20"/>
        <v>2.5578703703703705E-3</v>
      </c>
      <c r="Q70" s="41" t="str">
        <f t="shared" si="21"/>
        <v>0 min 33 s</v>
      </c>
      <c r="R70" s="35">
        <f t="shared" si="22"/>
        <v>0.1493212669683259</v>
      </c>
      <c r="S70" s="6" t="str">
        <f t="shared" si="23"/>
        <v>Mejora</v>
      </c>
    </row>
    <row r="71" spans="1:19" x14ac:dyDescent="0.3">
      <c r="A71" s="38" t="s">
        <v>11</v>
      </c>
      <c r="B71" s="41" t="s">
        <v>12</v>
      </c>
      <c r="C71" s="41" t="s">
        <v>21</v>
      </c>
      <c r="D71" s="2">
        <v>2000</v>
      </c>
      <c r="E71" s="2">
        <v>416</v>
      </c>
      <c r="F71" s="2">
        <v>216</v>
      </c>
      <c r="G71" s="2">
        <v>0</v>
      </c>
      <c r="H71" s="3">
        <v>8.5979807840000007</v>
      </c>
      <c r="I71" s="3">
        <v>1848.565869</v>
      </c>
      <c r="J71" s="2">
        <v>4</v>
      </c>
      <c r="K71" s="15" t="b">
        <v>1</v>
      </c>
      <c r="L71" s="41" t="str">
        <f t="shared" si="16"/>
        <v>238829520 -&gt; 5989317 | t=2000</v>
      </c>
      <c r="M71" s="6" t="str">
        <f t="shared" si="17"/>
        <v>3 min 36 s</v>
      </c>
      <c r="N71" s="6">
        <f t="shared" si="18"/>
        <v>30.952730822400003</v>
      </c>
      <c r="O71" s="7">
        <f t="shared" si="19"/>
        <v>1.848565869</v>
      </c>
      <c r="P71" s="29">
        <f t="shared" si="20"/>
        <v>2.5578703703703705E-3</v>
      </c>
      <c r="Q71" s="41" t="str">
        <f t="shared" si="21"/>
        <v>0 min 05 s</v>
      </c>
      <c r="R71" s="35">
        <f t="shared" si="22"/>
        <v>2.2624434389140302E-2</v>
      </c>
      <c r="S71" s="6" t="str">
        <f t="shared" si="23"/>
        <v>Mejora</v>
      </c>
    </row>
    <row r="72" spans="1:19" x14ac:dyDescent="0.3">
      <c r="A72" s="38" t="s">
        <v>14</v>
      </c>
      <c r="B72" s="41" t="s">
        <v>12</v>
      </c>
      <c r="C72" s="41" t="s">
        <v>21</v>
      </c>
      <c r="D72" s="2">
        <v>3600</v>
      </c>
      <c r="E72" s="2">
        <v>669</v>
      </c>
      <c r="F72" s="2">
        <v>309</v>
      </c>
      <c r="G72" s="2">
        <v>0</v>
      </c>
      <c r="H72" s="3">
        <v>5.9739730140000002</v>
      </c>
      <c r="I72" s="3">
        <v>1839.983688</v>
      </c>
      <c r="J72" s="2">
        <v>0</v>
      </c>
      <c r="K72" s="15" t="b">
        <v>1</v>
      </c>
      <c r="L72" s="41" t="str">
        <f t="shared" si="16"/>
        <v>238829520 -&gt; 5989317 | t=3600</v>
      </c>
      <c r="M72" s="6" t="str">
        <f t="shared" si="17"/>
        <v>5 min 09 s</v>
      </c>
      <c r="N72" s="6">
        <f t="shared" si="18"/>
        <v>21.506302850400001</v>
      </c>
      <c r="O72" s="7">
        <f t="shared" si="19"/>
        <v>1.839983688</v>
      </c>
      <c r="P72" s="29">
        <f t="shared" si="20"/>
        <v>3.0468750000000001E-3</v>
      </c>
      <c r="Q72" s="41" t="str">
        <f t="shared" si="21"/>
        <v/>
      </c>
      <c r="R72" s="35" t="str">
        <f t="shared" si="22"/>
        <v/>
      </c>
      <c r="S72" s="6" t="str">
        <f t="shared" si="23"/>
        <v>Referencia</v>
      </c>
    </row>
    <row r="73" spans="1:19" x14ac:dyDescent="0.3">
      <c r="A73" s="38" t="s">
        <v>11</v>
      </c>
      <c r="B73" s="41" t="s">
        <v>12</v>
      </c>
      <c r="C73" s="41" t="s">
        <v>21</v>
      </c>
      <c r="D73" s="2">
        <v>3600</v>
      </c>
      <c r="E73" s="2">
        <v>800</v>
      </c>
      <c r="F73" s="2">
        <v>440</v>
      </c>
      <c r="G73" s="2">
        <v>0</v>
      </c>
      <c r="H73" s="3">
        <v>4.1953954959999997</v>
      </c>
      <c r="I73" s="3">
        <v>1841.7786229999999</v>
      </c>
      <c r="J73" s="2">
        <v>5</v>
      </c>
      <c r="K73" s="15" t="b">
        <v>1</v>
      </c>
      <c r="L73" s="41" t="str">
        <f t="shared" si="16"/>
        <v>238829520 -&gt; 5989317 | t=3600</v>
      </c>
      <c r="M73" s="6" t="str">
        <f t="shared" si="17"/>
        <v>7 min 20 s</v>
      </c>
      <c r="N73" s="6">
        <f t="shared" si="18"/>
        <v>15.103423785599999</v>
      </c>
      <c r="O73" s="7">
        <f t="shared" si="19"/>
        <v>1.8417786229999999</v>
      </c>
      <c r="P73" s="29">
        <f t="shared" si="20"/>
        <v>3.0468750000000001E-3</v>
      </c>
      <c r="Q73" s="41" t="str">
        <f t="shared" si="21"/>
        <v>-2 min 57 s</v>
      </c>
      <c r="R73" s="35">
        <f t="shared" si="22"/>
        <v>-0.67141500474833815</v>
      </c>
      <c r="S73" s="6" t="str">
        <f t="shared" si="23"/>
        <v>Empeora</v>
      </c>
    </row>
    <row r="74" spans="1:19" x14ac:dyDescent="0.3">
      <c r="A74" s="38" t="s">
        <v>11</v>
      </c>
      <c r="B74" s="41" t="s">
        <v>12</v>
      </c>
      <c r="C74" s="41" t="s">
        <v>21</v>
      </c>
      <c r="D74" s="2">
        <v>3600</v>
      </c>
      <c r="E74" s="2">
        <v>994</v>
      </c>
      <c r="F74" s="2">
        <v>634</v>
      </c>
      <c r="G74" s="2">
        <v>0</v>
      </c>
      <c r="H74" s="3">
        <v>2.914992904</v>
      </c>
      <c r="I74" s="3">
        <v>1845.1905079999999</v>
      </c>
      <c r="J74" s="2">
        <v>3</v>
      </c>
      <c r="K74" s="15" t="b">
        <v>1</v>
      </c>
      <c r="L74" s="41" t="str">
        <f t="shared" si="16"/>
        <v>238829520 -&gt; 5989317 | t=3600</v>
      </c>
      <c r="M74" s="6" t="str">
        <f t="shared" si="17"/>
        <v>10 min 34 s</v>
      </c>
      <c r="N74" s="6">
        <f t="shared" si="18"/>
        <v>10.4939744544</v>
      </c>
      <c r="O74" s="7">
        <f t="shared" si="19"/>
        <v>1.845190508</v>
      </c>
      <c r="P74" s="29">
        <f t="shared" si="20"/>
        <v>3.0468750000000001E-3</v>
      </c>
      <c r="Q74" s="41" t="str">
        <f t="shared" si="21"/>
        <v>-6 min 11 s</v>
      </c>
      <c r="R74" s="35">
        <f t="shared" si="22"/>
        <v>-1.4083570750237415</v>
      </c>
      <c r="S74" s="6" t="str">
        <f t="shared" si="23"/>
        <v>Empeora</v>
      </c>
    </row>
    <row r="75" spans="1:19" x14ac:dyDescent="0.3">
      <c r="A75" s="38" t="s">
        <v>14</v>
      </c>
      <c r="B75" s="41" t="s">
        <v>12</v>
      </c>
      <c r="C75" s="41" t="s">
        <v>21</v>
      </c>
      <c r="D75" s="2">
        <v>3600</v>
      </c>
      <c r="E75" s="2">
        <v>667</v>
      </c>
      <c r="F75" s="2">
        <v>307</v>
      </c>
      <c r="G75" s="2">
        <v>0</v>
      </c>
      <c r="H75" s="3">
        <v>6.0338482329999996</v>
      </c>
      <c r="I75" s="3">
        <v>1846.357559</v>
      </c>
      <c r="J75" s="2">
        <v>0</v>
      </c>
      <c r="K75" s="15" t="b">
        <v>1</v>
      </c>
      <c r="L75" s="41" t="str">
        <f t="shared" si="16"/>
        <v>238829520 -&gt; 5989317 | t=3600</v>
      </c>
      <c r="M75" s="6" t="str">
        <f t="shared" si="17"/>
        <v>5 min 07 s</v>
      </c>
      <c r="N75" s="6">
        <f t="shared" si="18"/>
        <v>21.721853638799999</v>
      </c>
      <c r="O75" s="7">
        <f t="shared" si="19"/>
        <v>1.8463575590000001</v>
      </c>
      <c r="P75" s="29">
        <f t="shared" si="20"/>
        <v>3.0468750000000001E-3</v>
      </c>
      <c r="Q75" s="41" t="str">
        <f t="shared" si="21"/>
        <v/>
      </c>
      <c r="R75" s="35" t="str">
        <f t="shared" si="22"/>
        <v/>
      </c>
      <c r="S75" s="6" t="str">
        <f t="shared" si="23"/>
        <v>Referencia</v>
      </c>
    </row>
    <row r="76" spans="1:19" x14ac:dyDescent="0.3">
      <c r="A76" s="38" t="s">
        <v>11</v>
      </c>
      <c r="B76" s="41" t="s">
        <v>12</v>
      </c>
      <c r="C76" s="41" t="s">
        <v>21</v>
      </c>
      <c r="D76" s="2">
        <v>3600</v>
      </c>
      <c r="E76" s="2">
        <v>623</v>
      </c>
      <c r="F76" s="2">
        <v>263</v>
      </c>
      <c r="G76" s="2">
        <v>0</v>
      </c>
      <c r="H76" s="3">
        <v>7.0491559989999999</v>
      </c>
      <c r="I76" s="3">
        <v>1846.878872</v>
      </c>
      <c r="J76" s="2">
        <v>2</v>
      </c>
      <c r="K76" s="15" t="b">
        <v>1</v>
      </c>
      <c r="L76" s="41" t="str">
        <f t="shared" si="16"/>
        <v>238829520 -&gt; 5989317 | t=3600</v>
      </c>
      <c r="M76" s="6" t="str">
        <f t="shared" si="17"/>
        <v>4 min 23 s</v>
      </c>
      <c r="N76" s="6">
        <f t="shared" si="18"/>
        <v>25.376961596400001</v>
      </c>
      <c r="O76" s="7">
        <f t="shared" si="19"/>
        <v>1.846878872</v>
      </c>
      <c r="P76" s="29">
        <f t="shared" si="20"/>
        <v>3.0468750000000001E-3</v>
      </c>
      <c r="Q76" s="41" t="str">
        <f t="shared" si="21"/>
        <v>0 min 00 s</v>
      </c>
      <c r="R76" s="35">
        <f t="shared" si="22"/>
        <v>9.4966761633438399E-4</v>
      </c>
      <c r="S76" s="6" t="str">
        <f t="shared" si="23"/>
        <v>Mejora</v>
      </c>
    </row>
    <row r="77" spans="1:19" x14ac:dyDescent="0.3">
      <c r="A77" s="38" t="s">
        <v>11</v>
      </c>
      <c r="B77" s="41" t="s">
        <v>12</v>
      </c>
      <c r="C77" s="41" t="s">
        <v>21</v>
      </c>
      <c r="D77" s="2">
        <v>3600</v>
      </c>
      <c r="E77" s="2">
        <v>623</v>
      </c>
      <c r="F77" s="2">
        <v>263</v>
      </c>
      <c r="G77" s="2">
        <v>0</v>
      </c>
      <c r="H77" s="3">
        <v>7.0491559989999999</v>
      </c>
      <c r="I77" s="3">
        <v>1846.878872</v>
      </c>
      <c r="J77" s="2">
        <v>2</v>
      </c>
      <c r="K77" s="15" t="b">
        <v>1</v>
      </c>
      <c r="L77" s="41" t="str">
        <f t="shared" si="16"/>
        <v>238829520 -&gt; 5989317 | t=3600</v>
      </c>
      <c r="M77" s="6" t="str">
        <f t="shared" si="17"/>
        <v>4 min 23 s</v>
      </c>
      <c r="N77" s="6">
        <f t="shared" si="18"/>
        <v>25.376961596400001</v>
      </c>
      <c r="O77" s="7">
        <f t="shared" si="19"/>
        <v>1.846878872</v>
      </c>
      <c r="P77" s="29">
        <f t="shared" si="20"/>
        <v>3.0468750000000001E-3</v>
      </c>
      <c r="Q77" s="41" t="str">
        <f t="shared" si="21"/>
        <v>0 min 00 s</v>
      </c>
      <c r="R77" s="35">
        <f t="shared" si="22"/>
        <v>9.4966761633438399E-4</v>
      </c>
      <c r="S77" s="6" t="str">
        <f t="shared" si="23"/>
        <v>Mejora</v>
      </c>
    </row>
    <row r="78" spans="1:19" x14ac:dyDescent="0.3">
      <c r="A78" s="38" t="s">
        <v>14</v>
      </c>
      <c r="B78" s="41" t="s">
        <v>12</v>
      </c>
      <c r="C78" s="41" t="s">
        <v>21</v>
      </c>
      <c r="D78" s="2">
        <v>20000</v>
      </c>
      <c r="E78" s="2">
        <v>3600</v>
      </c>
      <c r="F78" s="2">
        <v>1600</v>
      </c>
      <c r="G78" s="2">
        <v>580</v>
      </c>
      <c r="H78" s="3">
        <v>0.297046851</v>
      </c>
      <c r="I78" s="3">
        <v>474.97791510000002</v>
      </c>
      <c r="J78" s="2">
        <v>0</v>
      </c>
      <c r="K78" s="15" t="b">
        <v>0</v>
      </c>
      <c r="L78" s="41" t="str">
        <f t="shared" si="16"/>
        <v>238829520 -&gt; 5989317 | t=20000</v>
      </c>
      <c r="M78" s="6" t="str">
        <f t="shared" si="17"/>
        <v>26 min 40 s</v>
      </c>
      <c r="N78" s="6">
        <f t="shared" si="18"/>
        <v>1.0693686635999999</v>
      </c>
      <c r="O78" s="7">
        <f t="shared" si="19"/>
        <v>0.47497791510000004</v>
      </c>
      <c r="P78" s="29" t="str">
        <f t="shared" si="20"/>
        <v/>
      </c>
      <c r="Q78" s="41" t="str">
        <f t="shared" si="21"/>
        <v/>
      </c>
      <c r="R78" s="35" t="str">
        <f t="shared" si="22"/>
        <v/>
      </c>
      <c r="S78" s="6" t="str">
        <f t="shared" si="23"/>
        <v>No llega</v>
      </c>
    </row>
    <row r="79" spans="1:19" x14ac:dyDescent="0.3">
      <c r="A79" s="38" t="s">
        <v>14</v>
      </c>
      <c r="B79" s="41" t="s">
        <v>12</v>
      </c>
      <c r="C79" s="41" t="s">
        <v>21</v>
      </c>
      <c r="D79" s="2">
        <v>2500</v>
      </c>
      <c r="E79" s="2">
        <v>423</v>
      </c>
      <c r="F79" s="2">
        <v>173</v>
      </c>
      <c r="G79" s="2">
        <v>0</v>
      </c>
      <c r="H79" s="3">
        <v>10.72561876</v>
      </c>
      <c r="I79" s="3">
        <v>1844.806427</v>
      </c>
      <c r="J79" s="2">
        <v>0</v>
      </c>
      <c r="K79" s="15" t="b">
        <v>1</v>
      </c>
      <c r="L79" s="41" t="str">
        <f t="shared" si="16"/>
        <v>238829520 -&gt; 5989317 | t=2500</v>
      </c>
      <c r="M79" s="6" t="str">
        <f t="shared" si="17"/>
        <v>2 min 53 s</v>
      </c>
      <c r="N79" s="6">
        <f t="shared" si="18"/>
        <v>38.612227535999999</v>
      </c>
      <c r="O79" s="7">
        <f t="shared" si="19"/>
        <v>1.844806427</v>
      </c>
      <c r="P79" s="29">
        <f t="shared" si="20"/>
        <v>2.0023148148148148E-3</v>
      </c>
      <c r="Q79" s="41" t="str">
        <f t="shared" si="21"/>
        <v/>
      </c>
      <c r="R79" s="35" t="str">
        <f t="shared" si="22"/>
        <v/>
      </c>
      <c r="S79" s="6" t="str">
        <f t="shared" si="23"/>
        <v>Referencia</v>
      </c>
    </row>
    <row r="80" spans="1:19" x14ac:dyDescent="0.3">
      <c r="A80" s="38" t="s">
        <v>14</v>
      </c>
      <c r="B80" s="41" t="s">
        <v>12</v>
      </c>
      <c r="C80" s="41" t="s">
        <v>21</v>
      </c>
      <c r="D80" s="2">
        <v>250</v>
      </c>
      <c r="E80" s="2">
        <v>486</v>
      </c>
      <c r="F80" s="2">
        <v>236</v>
      </c>
      <c r="G80" s="2">
        <v>0</v>
      </c>
      <c r="H80" s="3">
        <v>7.851</v>
      </c>
      <c r="I80" s="3">
        <v>1844.8889999999999</v>
      </c>
      <c r="J80" s="2">
        <v>0</v>
      </c>
      <c r="K80" s="15" t="b">
        <v>1</v>
      </c>
      <c r="L80" s="41" t="str">
        <f t="shared" si="16"/>
        <v>238829520 -&gt; 5989317 | t=250</v>
      </c>
      <c r="M80" s="6" t="str">
        <f t="shared" si="17"/>
        <v>3 min 56 s</v>
      </c>
      <c r="N80" s="6">
        <f t="shared" si="18"/>
        <v>28.2636</v>
      </c>
      <c r="O80" s="7">
        <f t="shared" si="19"/>
        <v>1.844889</v>
      </c>
      <c r="P80" s="29">
        <f t="shared" si="20"/>
        <v>3.003472222222222E-3</v>
      </c>
      <c r="Q80" s="41" t="str">
        <f t="shared" si="21"/>
        <v/>
      </c>
      <c r="R80" s="35" t="str">
        <f t="shared" si="22"/>
        <v/>
      </c>
      <c r="S80" s="6" t="str">
        <f t="shared" si="23"/>
        <v>Referencia</v>
      </c>
    </row>
    <row r="81" spans="1:19" x14ac:dyDescent="0.3">
      <c r="A81" s="38" t="s">
        <v>11</v>
      </c>
      <c r="B81" s="41" t="s">
        <v>12</v>
      </c>
      <c r="C81" s="41" t="s">
        <v>21</v>
      </c>
      <c r="D81" s="2">
        <v>250</v>
      </c>
      <c r="E81" s="2">
        <v>476</v>
      </c>
      <c r="F81" s="2">
        <v>226</v>
      </c>
      <c r="G81" s="2">
        <v>0</v>
      </c>
      <c r="H81" s="3">
        <v>8.1989999999999998</v>
      </c>
      <c r="I81" s="3">
        <v>1844.8240000000001</v>
      </c>
      <c r="J81" s="2">
        <v>5</v>
      </c>
      <c r="K81" s="15" t="b">
        <v>1</v>
      </c>
      <c r="L81" s="41" t="str">
        <f t="shared" si="16"/>
        <v>238829520 -&gt; 5989317 | t=250</v>
      </c>
      <c r="M81" s="6" t="str">
        <f t="shared" si="17"/>
        <v>3 min 46 s</v>
      </c>
      <c r="N81" s="6">
        <f t="shared" si="18"/>
        <v>29.516400000000001</v>
      </c>
      <c r="O81" s="7">
        <f t="shared" si="19"/>
        <v>1.844824</v>
      </c>
      <c r="P81" s="29">
        <f t="shared" si="20"/>
        <v>3.003472222222222E-3</v>
      </c>
      <c r="Q81" s="41" t="str">
        <f t="shared" si="21"/>
        <v>0 min 34 s</v>
      </c>
      <c r="R81" s="35">
        <f t="shared" si="22"/>
        <v>0.12909441233140656</v>
      </c>
      <c r="S81" s="6" t="str">
        <f t="shared" si="23"/>
        <v>Mejora</v>
      </c>
    </row>
    <row r="82" spans="1:19" x14ac:dyDescent="0.3">
      <c r="A82" s="38" t="s">
        <v>11</v>
      </c>
      <c r="B82" s="41" t="s">
        <v>12</v>
      </c>
      <c r="C82" s="41" t="s">
        <v>21</v>
      </c>
      <c r="D82" s="2">
        <v>250</v>
      </c>
      <c r="E82" s="2">
        <v>520</v>
      </c>
      <c r="F82" s="2">
        <v>270</v>
      </c>
      <c r="G82" s="2">
        <v>0</v>
      </c>
      <c r="H82" s="3">
        <v>6.86</v>
      </c>
      <c r="I82" s="3">
        <v>1845.444</v>
      </c>
      <c r="J82" s="2">
        <v>3</v>
      </c>
      <c r="K82" s="15" t="b">
        <v>1</v>
      </c>
      <c r="L82" s="41" t="str">
        <f t="shared" si="16"/>
        <v>238829520 -&gt; 5989317 | t=250</v>
      </c>
      <c r="M82" s="6" t="str">
        <f t="shared" si="17"/>
        <v>4 min 30 s</v>
      </c>
      <c r="N82" s="6">
        <f t="shared" si="18"/>
        <v>24.696000000000002</v>
      </c>
      <c r="O82" s="7">
        <f t="shared" si="19"/>
        <v>1.8454439999999999</v>
      </c>
      <c r="P82" s="29">
        <f t="shared" si="20"/>
        <v>3.003472222222222E-3</v>
      </c>
      <c r="Q82" s="41" t="str">
        <f t="shared" si="21"/>
        <v>-0 min 11 s</v>
      </c>
      <c r="R82" s="35">
        <f t="shared" si="22"/>
        <v>-4.0462427745664858E-2</v>
      </c>
      <c r="S82" s="6" t="str">
        <f t="shared" si="23"/>
        <v>Empeora</v>
      </c>
    </row>
    <row r="83" spans="1:19" x14ac:dyDescent="0.3">
      <c r="A83" s="38" t="s">
        <v>14</v>
      </c>
      <c r="B83" s="41" t="s">
        <v>12</v>
      </c>
      <c r="C83" s="41" t="s">
        <v>21</v>
      </c>
      <c r="D83" s="2">
        <v>250</v>
      </c>
      <c r="E83" s="2">
        <v>577</v>
      </c>
      <c r="F83" s="2">
        <v>327</v>
      </c>
      <c r="G83" s="2">
        <v>0</v>
      </c>
      <c r="H83" s="3">
        <v>5.6550000000000002</v>
      </c>
      <c r="I83" s="3">
        <v>1843.692</v>
      </c>
      <c r="J83" s="2">
        <v>0</v>
      </c>
      <c r="K83" s="15" t="b">
        <v>1</v>
      </c>
      <c r="L83" s="41" t="str">
        <f t="shared" si="16"/>
        <v>238829520 -&gt; 5989317 | t=250</v>
      </c>
      <c r="M83" s="6" t="str">
        <f t="shared" si="17"/>
        <v>5 min 27 s</v>
      </c>
      <c r="N83" s="6">
        <f t="shared" si="18"/>
        <v>20.358000000000001</v>
      </c>
      <c r="O83" s="7">
        <f t="shared" si="19"/>
        <v>1.8436920000000001</v>
      </c>
      <c r="P83" s="29">
        <f t="shared" si="20"/>
        <v>3.003472222222222E-3</v>
      </c>
      <c r="Q83" s="41" t="str">
        <f t="shared" si="21"/>
        <v/>
      </c>
      <c r="R83" s="35" t="str">
        <f t="shared" si="22"/>
        <v/>
      </c>
      <c r="S83" s="6" t="str">
        <f t="shared" si="23"/>
        <v>Referencia</v>
      </c>
    </row>
    <row r="84" spans="1:19" x14ac:dyDescent="0.3">
      <c r="A84" s="38" t="s">
        <v>11</v>
      </c>
      <c r="B84" s="41" t="s">
        <v>12</v>
      </c>
      <c r="C84" s="41" t="s">
        <v>21</v>
      </c>
      <c r="D84" s="2">
        <v>250</v>
      </c>
      <c r="E84" s="2">
        <v>439</v>
      </c>
      <c r="F84" s="2">
        <v>189</v>
      </c>
      <c r="G84" s="2">
        <v>0</v>
      </c>
      <c r="H84" s="3">
        <v>9.7650000000000006</v>
      </c>
      <c r="I84" s="3">
        <v>1835.7860000000001</v>
      </c>
      <c r="J84" s="2">
        <v>2</v>
      </c>
      <c r="K84" s="15" t="b">
        <v>1</v>
      </c>
      <c r="L84" s="41" t="str">
        <f t="shared" si="16"/>
        <v>238829520 -&gt; 5989317 | t=250</v>
      </c>
      <c r="M84" s="6" t="str">
        <f t="shared" si="17"/>
        <v>3 min 09 s</v>
      </c>
      <c r="N84" s="6">
        <f t="shared" si="18"/>
        <v>35.154000000000003</v>
      </c>
      <c r="O84" s="7">
        <f t="shared" si="19"/>
        <v>1.8357860000000001</v>
      </c>
      <c r="P84" s="29">
        <f t="shared" si="20"/>
        <v>3.003472222222222E-3</v>
      </c>
      <c r="Q84" s="41" t="str">
        <f t="shared" si="21"/>
        <v>1 min 11 s</v>
      </c>
      <c r="R84" s="35">
        <f t="shared" si="22"/>
        <v>0.27167630057803455</v>
      </c>
      <c r="S84" s="6" t="str">
        <f t="shared" si="23"/>
        <v>Mejora</v>
      </c>
    </row>
    <row r="85" spans="1:19" x14ac:dyDescent="0.3">
      <c r="A85" s="38" t="s">
        <v>11</v>
      </c>
      <c r="B85" s="41" t="s">
        <v>12</v>
      </c>
      <c r="C85" s="41" t="s">
        <v>21</v>
      </c>
      <c r="D85" s="2">
        <v>250</v>
      </c>
      <c r="E85" s="2">
        <v>391</v>
      </c>
      <c r="F85" s="2">
        <v>141</v>
      </c>
      <c r="G85" s="2">
        <v>0</v>
      </c>
      <c r="H85" s="3">
        <v>13.12</v>
      </c>
      <c r="I85" s="3">
        <v>1836.7840000000001</v>
      </c>
      <c r="J85" s="2">
        <v>3</v>
      </c>
      <c r="K85" s="15" t="b">
        <v>1</v>
      </c>
      <c r="L85" s="41" t="str">
        <f t="shared" si="16"/>
        <v>238829520 -&gt; 5989317 | t=250</v>
      </c>
      <c r="M85" s="6" t="str">
        <f t="shared" si="17"/>
        <v>2 min 21 s</v>
      </c>
      <c r="N85" s="6">
        <f t="shared" si="18"/>
        <v>47.231999999999999</v>
      </c>
      <c r="O85" s="7">
        <f t="shared" si="19"/>
        <v>1.8367840000000002</v>
      </c>
      <c r="P85" s="29">
        <f t="shared" si="20"/>
        <v>3.003472222222222E-3</v>
      </c>
      <c r="Q85" s="41" t="str">
        <f t="shared" si="21"/>
        <v>1 min 59 s</v>
      </c>
      <c r="R85" s="35">
        <f t="shared" si="22"/>
        <v>0.45664739884393057</v>
      </c>
      <c r="S85" s="6" t="str">
        <f t="shared" si="23"/>
        <v>Mejora</v>
      </c>
    </row>
    <row r="86" spans="1:19" x14ac:dyDescent="0.3">
      <c r="A86" s="38" t="s">
        <v>11</v>
      </c>
      <c r="B86" s="41" t="s">
        <v>12</v>
      </c>
      <c r="C86" s="41" t="s">
        <v>21</v>
      </c>
      <c r="D86" s="2">
        <v>250</v>
      </c>
      <c r="E86" s="2">
        <v>391</v>
      </c>
      <c r="F86" s="2">
        <v>141</v>
      </c>
      <c r="G86" s="2">
        <v>0</v>
      </c>
      <c r="H86" s="3">
        <v>13.12</v>
      </c>
      <c r="I86" s="3">
        <v>1836.7840000000001</v>
      </c>
      <c r="J86" s="2">
        <v>3</v>
      </c>
      <c r="K86" s="15" t="b">
        <v>1</v>
      </c>
      <c r="L86" s="41" t="str">
        <f t="shared" si="16"/>
        <v>238829520 -&gt; 5989317 | t=250</v>
      </c>
      <c r="M86" s="6" t="str">
        <f t="shared" si="17"/>
        <v>2 min 21 s</v>
      </c>
      <c r="N86" s="6">
        <f t="shared" si="18"/>
        <v>47.231999999999999</v>
      </c>
      <c r="O86" s="7">
        <f t="shared" si="19"/>
        <v>1.8367840000000002</v>
      </c>
      <c r="P86" s="29">
        <f t="shared" si="20"/>
        <v>3.003472222222222E-3</v>
      </c>
      <c r="Q86" s="41" t="str">
        <f t="shared" si="21"/>
        <v>1 min 59 s</v>
      </c>
      <c r="R86" s="35">
        <f t="shared" si="22"/>
        <v>0.45664739884393057</v>
      </c>
      <c r="S86" s="6" t="str">
        <f t="shared" si="23"/>
        <v>Mejora</v>
      </c>
    </row>
    <row r="87" spans="1:19" x14ac:dyDescent="0.3">
      <c r="A87" s="38" t="s">
        <v>11</v>
      </c>
      <c r="B87" s="41" t="s">
        <v>12</v>
      </c>
      <c r="C87" s="41" t="s">
        <v>21</v>
      </c>
      <c r="D87" s="2">
        <v>250</v>
      </c>
      <c r="E87" s="2">
        <v>413</v>
      </c>
      <c r="F87" s="2">
        <v>163</v>
      </c>
      <c r="G87" s="2">
        <v>0</v>
      </c>
      <c r="H87" s="3">
        <v>11.35</v>
      </c>
      <c r="I87" s="3">
        <v>1838.7719999999999</v>
      </c>
      <c r="J87" s="2">
        <v>2</v>
      </c>
      <c r="K87" s="15" t="b">
        <v>1</v>
      </c>
      <c r="L87" s="41" t="str">
        <f t="shared" si="16"/>
        <v>238829520 -&gt; 5989317 | t=250</v>
      </c>
      <c r="M87" s="6" t="str">
        <f t="shared" si="17"/>
        <v>2 min 43 s</v>
      </c>
      <c r="N87" s="6">
        <f t="shared" si="18"/>
        <v>40.86</v>
      </c>
      <c r="O87" s="7">
        <f t="shared" si="19"/>
        <v>1.8387719999999999</v>
      </c>
      <c r="P87" s="29">
        <f t="shared" si="20"/>
        <v>3.003472222222222E-3</v>
      </c>
      <c r="Q87" s="41" t="str">
        <f t="shared" si="21"/>
        <v>1 min 37 s</v>
      </c>
      <c r="R87" s="35">
        <f t="shared" si="22"/>
        <v>0.37186897880539493</v>
      </c>
      <c r="S87" s="6" t="str">
        <f t="shared" si="23"/>
        <v>Mejora</v>
      </c>
    </row>
    <row r="88" spans="1:19" x14ac:dyDescent="0.3">
      <c r="A88" s="38" t="s">
        <v>14</v>
      </c>
      <c r="B88" s="41" t="s">
        <v>12</v>
      </c>
      <c r="C88" s="41" t="s">
        <v>21</v>
      </c>
      <c r="D88" s="2">
        <v>250</v>
      </c>
      <c r="E88" s="2">
        <v>413</v>
      </c>
      <c r="F88" s="2">
        <v>163</v>
      </c>
      <c r="G88" s="2">
        <v>0</v>
      </c>
      <c r="H88" s="3">
        <v>11.332000000000001</v>
      </c>
      <c r="I88" s="3">
        <v>1835.8579999999999</v>
      </c>
      <c r="J88" s="2">
        <v>0</v>
      </c>
      <c r="K88" s="15" t="b">
        <v>1</v>
      </c>
      <c r="L88" s="41" t="str">
        <f t="shared" si="16"/>
        <v>238829520 -&gt; 5989317 | t=250</v>
      </c>
      <c r="M88" s="6" t="str">
        <f t="shared" si="17"/>
        <v>2 min 43 s</v>
      </c>
      <c r="N88" s="6">
        <f t="shared" si="18"/>
        <v>40.795200000000001</v>
      </c>
      <c r="O88" s="7">
        <f t="shared" si="19"/>
        <v>1.835858</v>
      </c>
      <c r="P88" s="29">
        <f t="shared" si="20"/>
        <v>3.003472222222222E-3</v>
      </c>
      <c r="Q88" s="41" t="str">
        <f t="shared" si="21"/>
        <v/>
      </c>
      <c r="R88" s="35" t="str">
        <f t="shared" si="22"/>
        <v/>
      </c>
      <c r="S88" s="6" t="str">
        <f t="shared" si="23"/>
        <v>Referencia</v>
      </c>
    </row>
    <row r="89" spans="1:19" x14ac:dyDescent="0.3">
      <c r="A89" s="38" t="s">
        <v>14</v>
      </c>
      <c r="B89" s="41" t="s">
        <v>12</v>
      </c>
      <c r="C89" s="41" t="s">
        <v>21</v>
      </c>
      <c r="D89" s="2">
        <v>250</v>
      </c>
      <c r="E89" s="2">
        <v>402</v>
      </c>
      <c r="F89" s="2">
        <v>152</v>
      </c>
      <c r="G89" s="2">
        <v>0</v>
      </c>
      <c r="H89" s="3">
        <v>12.247999999999999</v>
      </c>
      <c r="I89" s="3">
        <v>1849.4570000000001</v>
      </c>
      <c r="J89" s="2">
        <v>0</v>
      </c>
      <c r="K89" s="15" t="b">
        <v>1</v>
      </c>
      <c r="L89" s="41" t="str">
        <f t="shared" si="16"/>
        <v>238829520 -&gt; 5989317 | t=250</v>
      </c>
      <c r="M89" s="6" t="str">
        <f t="shared" si="17"/>
        <v>2 min 32 s</v>
      </c>
      <c r="N89" s="6">
        <f t="shared" si="18"/>
        <v>44.092799999999997</v>
      </c>
      <c r="O89" s="7">
        <f t="shared" si="19"/>
        <v>1.8494570000000001</v>
      </c>
      <c r="P89" s="29">
        <f t="shared" si="20"/>
        <v>3.003472222222222E-3</v>
      </c>
      <c r="Q89" s="41" t="str">
        <f t="shared" si="21"/>
        <v/>
      </c>
      <c r="R89" s="35" t="str">
        <f t="shared" si="22"/>
        <v/>
      </c>
      <c r="S89" s="6" t="str">
        <f t="shared" si="23"/>
        <v>Referencia</v>
      </c>
    </row>
    <row r="90" spans="1:19" x14ac:dyDescent="0.3">
      <c r="A90" s="38" t="s">
        <v>11</v>
      </c>
      <c r="B90" s="41" t="s">
        <v>12</v>
      </c>
      <c r="C90" s="41" t="s">
        <v>21</v>
      </c>
      <c r="D90" s="2">
        <v>250</v>
      </c>
      <c r="E90" s="2">
        <v>381</v>
      </c>
      <c r="F90" s="2">
        <v>131</v>
      </c>
      <c r="G90" s="2">
        <v>0</v>
      </c>
      <c r="H90" s="3">
        <v>14.14</v>
      </c>
      <c r="I90" s="3">
        <v>1838.16</v>
      </c>
      <c r="J90" s="2">
        <v>3</v>
      </c>
      <c r="K90" s="15" t="b">
        <v>1</v>
      </c>
      <c r="L90" s="41" t="str">
        <f t="shared" si="16"/>
        <v>238829520 -&gt; 5989317 | t=250</v>
      </c>
      <c r="M90" s="6" t="str">
        <f t="shared" si="17"/>
        <v>2 min 11 s</v>
      </c>
      <c r="N90" s="6">
        <f t="shared" si="18"/>
        <v>50.904000000000003</v>
      </c>
      <c r="O90" s="7">
        <f t="shared" si="19"/>
        <v>1.83816</v>
      </c>
      <c r="P90" s="29">
        <f t="shared" si="20"/>
        <v>3.003472222222222E-3</v>
      </c>
      <c r="Q90" s="41" t="str">
        <f t="shared" si="21"/>
        <v>2 min 09 s</v>
      </c>
      <c r="R90" s="35">
        <f t="shared" si="22"/>
        <v>0.4951830443159923</v>
      </c>
      <c r="S90" s="6" t="str">
        <f t="shared" si="23"/>
        <v>Mejora</v>
      </c>
    </row>
    <row r="91" spans="1:19" x14ac:dyDescent="0.3">
      <c r="A91" s="38" t="s">
        <v>11</v>
      </c>
      <c r="B91" s="41" t="s">
        <v>12</v>
      </c>
      <c r="C91" s="41" t="s">
        <v>21</v>
      </c>
      <c r="D91" s="2">
        <v>250</v>
      </c>
      <c r="E91" s="2">
        <v>381</v>
      </c>
      <c r="F91" s="2">
        <v>131</v>
      </c>
      <c r="G91" s="2">
        <v>0</v>
      </c>
      <c r="H91" s="3">
        <v>14.141999999999999</v>
      </c>
      <c r="I91" s="3">
        <v>1838.432</v>
      </c>
      <c r="J91" s="2">
        <v>3</v>
      </c>
      <c r="K91" s="15" t="b">
        <v>1</v>
      </c>
      <c r="L91" s="41" t="str">
        <f t="shared" si="16"/>
        <v>238829520 -&gt; 5989317 | t=250</v>
      </c>
      <c r="M91" s="6" t="str">
        <f t="shared" si="17"/>
        <v>2 min 11 s</v>
      </c>
      <c r="N91" s="6">
        <f t="shared" si="18"/>
        <v>50.911200000000001</v>
      </c>
      <c r="O91" s="7">
        <f t="shared" si="19"/>
        <v>1.8384320000000001</v>
      </c>
      <c r="P91" s="29">
        <f t="shared" si="20"/>
        <v>3.003472222222222E-3</v>
      </c>
      <c r="Q91" s="41" t="str">
        <f t="shared" si="21"/>
        <v>2 min 09 s</v>
      </c>
      <c r="R91" s="35">
        <f t="shared" si="22"/>
        <v>0.4951830443159923</v>
      </c>
      <c r="S91" s="6" t="str">
        <f t="shared" si="23"/>
        <v>Mejora</v>
      </c>
    </row>
    <row r="92" spans="1:19" x14ac:dyDescent="0.3">
      <c r="A92" s="38" t="s">
        <v>14</v>
      </c>
      <c r="B92" s="41" t="s">
        <v>12</v>
      </c>
      <c r="C92" s="41" t="s">
        <v>21</v>
      </c>
      <c r="D92" s="2">
        <v>250</v>
      </c>
      <c r="E92" s="2">
        <v>409</v>
      </c>
      <c r="F92" s="2">
        <v>159</v>
      </c>
      <c r="G92" s="2">
        <v>0</v>
      </c>
      <c r="H92" s="3">
        <v>11.632</v>
      </c>
      <c r="I92" s="3">
        <v>1837.788</v>
      </c>
      <c r="J92" s="2">
        <v>0</v>
      </c>
      <c r="K92" s="15" t="b">
        <v>1</v>
      </c>
      <c r="L92" s="41" t="str">
        <f t="shared" si="16"/>
        <v>238829520 -&gt; 5989317 | t=250</v>
      </c>
      <c r="M92" s="6" t="str">
        <f t="shared" si="17"/>
        <v>2 min 39 s</v>
      </c>
      <c r="N92" s="6">
        <f t="shared" si="18"/>
        <v>41.8752</v>
      </c>
      <c r="O92" s="7">
        <f t="shared" si="19"/>
        <v>1.837788</v>
      </c>
      <c r="P92" s="29">
        <f t="shared" si="20"/>
        <v>3.003472222222222E-3</v>
      </c>
      <c r="Q92" s="41" t="str">
        <f t="shared" si="21"/>
        <v/>
      </c>
      <c r="R92" s="35" t="str">
        <f t="shared" si="22"/>
        <v/>
      </c>
      <c r="S92" s="6" t="str">
        <f t="shared" si="23"/>
        <v>Referencia</v>
      </c>
    </row>
    <row r="93" spans="1:19" x14ac:dyDescent="0.3">
      <c r="A93" s="38" t="s">
        <v>11</v>
      </c>
      <c r="B93" s="41" t="s">
        <v>12</v>
      </c>
      <c r="C93" s="41" t="s">
        <v>21</v>
      </c>
      <c r="D93" s="2">
        <v>250</v>
      </c>
      <c r="E93" s="2">
        <v>385</v>
      </c>
      <c r="F93" s="2">
        <v>135</v>
      </c>
      <c r="G93" s="2">
        <v>0</v>
      </c>
      <c r="H93" s="3">
        <v>13.721</v>
      </c>
      <c r="I93" s="3">
        <v>1838.6020000000001</v>
      </c>
      <c r="J93" s="2">
        <v>3</v>
      </c>
      <c r="K93" s="15" t="b">
        <v>1</v>
      </c>
      <c r="L93" s="41" t="str">
        <f t="shared" si="16"/>
        <v>238829520 -&gt; 5989317 | t=250</v>
      </c>
      <c r="M93" s="6" t="str">
        <f t="shared" si="17"/>
        <v>2 min 15 s</v>
      </c>
      <c r="N93" s="6">
        <f t="shared" si="18"/>
        <v>49.395600000000002</v>
      </c>
      <c r="O93" s="7">
        <f t="shared" si="19"/>
        <v>1.8386020000000001</v>
      </c>
      <c r="P93" s="29">
        <f t="shared" si="20"/>
        <v>3.003472222222222E-3</v>
      </c>
      <c r="Q93" s="41" t="str">
        <f t="shared" si="21"/>
        <v>2 min 04 s</v>
      </c>
      <c r="R93" s="35">
        <f t="shared" si="22"/>
        <v>0.47976878612716756</v>
      </c>
      <c r="S93" s="6" t="str">
        <f t="shared" si="23"/>
        <v>Mejora</v>
      </c>
    </row>
    <row r="94" spans="1:19" x14ac:dyDescent="0.3">
      <c r="A94" s="38" t="s">
        <v>14</v>
      </c>
      <c r="B94" s="41" t="s">
        <v>21</v>
      </c>
      <c r="C94" s="41" t="s">
        <v>12</v>
      </c>
      <c r="D94" s="2">
        <v>250</v>
      </c>
      <c r="E94" s="2">
        <v>442</v>
      </c>
      <c r="F94" s="2">
        <v>192</v>
      </c>
      <c r="G94" s="2">
        <v>0</v>
      </c>
      <c r="H94" s="3">
        <v>10.6</v>
      </c>
      <c r="I94" s="3">
        <v>2024.671</v>
      </c>
      <c r="J94" s="2">
        <v>0</v>
      </c>
      <c r="K94" s="15" t="b">
        <v>1</v>
      </c>
      <c r="L94" s="41" t="str">
        <f t="shared" si="16"/>
        <v>5989317 -&gt; 238829520 | t=250</v>
      </c>
      <c r="M94" s="6" t="str">
        <f t="shared" si="17"/>
        <v>3 min 12 s</v>
      </c>
      <c r="N94" s="6">
        <f t="shared" si="18"/>
        <v>38.159999999999997</v>
      </c>
      <c r="O94" s="7">
        <f t="shared" si="19"/>
        <v>2.0246710000000001</v>
      </c>
      <c r="P94" s="29">
        <f t="shared" si="20"/>
        <v>2.2222222222222222E-3</v>
      </c>
      <c r="Q94" s="41" t="str">
        <f t="shared" si="21"/>
        <v/>
      </c>
      <c r="R94" s="35" t="str">
        <f t="shared" si="22"/>
        <v/>
      </c>
      <c r="S94" s="6" t="str">
        <f t="shared" si="23"/>
        <v>Referencia</v>
      </c>
    </row>
    <row r="95" spans="1:19" x14ac:dyDescent="0.3">
      <c r="A95" s="38" t="s">
        <v>11</v>
      </c>
      <c r="B95" s="41" t="s">
        <v>21</v>
      </c>
      <c r="C95" s="41" t="s">
        <v>12</v>
      </c>
      <c r="D95" s="2">
        <v>250</v>
      </c>
      <c r="E95" s="2">
        <v>423</v>
      </c>
      <c r="F95" s="2">
        <v>173</v>
      </c>
      <c r="G95" s="2">
        <v>0</v>
      </c>
      <c r="H95" s="3">
        <v>11.835000000000001</v>
      </c>
      <c r="I95" s="3">
        <v>2035.625</v>
      </c>
      <c r="J95" s="2">
        <v>7</v>
      </c>
      <c r="K95" s="15" t="b">
        <v>1</v>
      </c>
      <c r="L95" s="41" t="str">
        <f t="shared" si="16"/>
        <v>5989317 -&gt; 238829520 | t=250</v>
      </c>
      <c r="M95" s="6" t="str">
        <f t="shared" si="17"/>
        <v>2 min 53 s</v>
      </c>
      <c r="N95" s="6">
        <f t="shared" si="18"/>
        <v>42.606000000000002</v>
      </c>
      <c r="O95" s="7">
        <f t="shared" si="19"/>
        <v>2.035625</v>
      </c>
      <c r="P95" s="29">
        <f t="shared" si="20"/>
        <v>2.2222222222222222E-3</v>
      </c>
      <c r="Q95" s="41" t="str">
        <f t="shared" si="21"/>
        <v>0 min 19 s</v>
      </c>
      <c r="R95" s="35">
        <f t="shared" si="22"/>
        <v>9.8958333333333315E-2</v>
      </c>
      <c r="S95" s="6" t="str">
        <f t="shared" si="23"/>
        <v>Mejora</v>
      </c>
    </row>
    <row r="96" spans="1:19" x14ac:dyDescent="0.3">
      <c r="A96" s="38" t="s">
        <v>14</v>
      </c>
      <c r="B96" s="41" t="s">
        <v>12</v>
      </c>
      <c r="C96" s="41" t="s">
        <v>21</v>
      </c>
      <c r="D96" s="2">
        <v>250</v>
      </c>
      <c r="E96" s="2">
        <v>477</v>
      </c>
      <c r="F96" s="2">
        <v>227</v>
      </c>
      <c r="G96" s="2">
        <v>0</v>
      </c>
      <c r="H96" s="3">
        <v>8.1319999999999997</v>
      </c>
      <c r="I96" s="3">
        <v>1837.809</v>
      </c>
      <c r="J96" s="2">
        <v>0</v>
      </c>
      <c r="K96" s="15" t="b">
        <v>1</v>
      </c>
      <c r="L96" s="41" t="str">
        <f t="shared" si="16"/>
        <v>238829520 -&gt; 5989317 | t=250</v>
      </c>
      <c r="M96" s="6" t="str">
        <f t="shared" si="17"/>
        <v>3 min 47 s</v>
      </c>
      <c r="N96" s="6">
        <f t="shared" si="18"/>
        <v>29.275199999999998</v>
      </c>
      <c r="O96" s="7">
        <f t="shared" si="19"/>
        <v>1.837809</v>
      </c>
      <c r="P96" s="29">
        <f t="shared" si="20"/>
        <v>3.003472222222222E-3</v>
      </c>
      <c r="Q96" s="41" t="str">
        <f t="shared" si="21"/>
        <v/>
      </c>
      <c r="R96" s="35" t="str">
        <f t="shared" si="22"/>
        <v/>
      </c>
      <c r="S96" s="6" t="str">
        <f t="shared" si="23"/>
        <v>Referencia</v>
      </c>
    </row>
    <row r="97" spans="1:19" x14ac:dyDescent="0.3">
      <c r="A97" s="38" t="s">
        <v>11</v>
      </c>
      <c r="B97" s="41" t="s">
        <v>12</v>
      </c>
      <c r="C97" s="41" t="s">
        <v>21</v>
      </c>
      <c r="D97" s="2">
        <v>250</v>
      </c>
      <c r="E97" s="2">
        <v>408</v>
      </c>
      <c r="F97" s="2">
        <v>158</v>
      </c>
      <c r="G97" s="2">
        <v>0</v>
      </c>
      <c r="H97" s="3">
        <v>11.771000000000001</v>
      </c>
      <c r="I97" s="3">
        <v>1848.1010000000001</v>
      </c>
      <c r="J97" s="2">
        <v>3</v>
      </c>
      <c r="K97" s="15" t="b">
        <v>1</v>
      </c>
      <c r="L97" s="41" t="str">
        <f t="shared" si="16"/>
        <v>238829520 -&gt; 5989317 | t=250</v>
      </c>
      <c r="M97" s="6" t="str">
        <f t="shared" si="17"/>
        <v>2 min 38 s</v>
      </c>
      <c r="N97" s="6">
        <f t="shared" si="18"/>
        <v>42.375600000000006</v>
      </c>
      <c r="O97" s="7">
        <f t="shared" si="19"/>
        <v>1.8481010000000002</v>
      </c>
      <c r="P97" s="29">
        <f t="shared" si="20"/>
        <v>3.003472222222222E-3</v>
      </c>
      <c r="Q97" s="41" t="str">
        <f t="shared" si="21"/>
        <v>1 min 42 s</v>
      </c>
      <c r="R97" s="35">
        <f t="shared" si="22"/>
        <v>0.39113680154142577</v>
      </c>
      <c r="S97" s="6" t="str">
        <f t="shared" si="23"/>
        <v>Mejora</v>
      </c>
    </row>
    <row r="98" spans="1:19" x14ac:dyDescent="0.3">
      <c r="A98" s="38" t="s">
        <v>11</v>
      </c>
      <c r="B98" s="41" t="s">
        <v>12</v>
      </c>
      <c r="C98" s="41" t="s">
        <v>21</v>
      </c>
      <c r="D98" s="2">
        <v>250</v>
      </c>
      <c r="E98" s="2">
        <v>427</v>
      </c>
      <c r="F98" s="2">
        <v>177</v>
      </c>
      <c r="G98" s="2">
        <v>0</v>
      </c>
      <c r="H98" s="3">
        <v>10.51</v>
      </c>
      <c r="I98" s="3">
        <v>1849.7840000000001</v>
      </c>
      <c r="J98" s="2">
        <v>2</v>
      </c>
      <c r="K98" s="15" t="b">
        <v>1</v>
      </c>
      <c r="L98" s="41" t="str">
        <f t="shared" ref="L98:L107" si="24">B98&amp;" -&gt; "&amp;C98&amp;" | t="&amp;D98</f>
        <v>238829520 -&gt; 5989317 | t=250</v>
      </c>
      <c r="M98" s="6" t="str">
        <f t="shared" ref="M98:M107" si="25">INT(F98/60)&amp;" min "&amp;TEXT(MOD(F98,60),"00")&amp;" s"</f>
        <v>2 min 57 s</v>
      </c>
      <c r="N98" s="6">
        <f t="shared" ref="N98:N107" si="26">H98*3.6</f>
        <v>37.835999999999999</v>
      </c>
      <c r="O98" s="7">
        <f t="shared" ref="O98:O107" si="27">I98/1000</f>
        <v>1.8497840000000001</v>
      </c>
      <c r="P98" s="29">
        <f t="shared" ref="P98:P107" si="28">IFERROR(AVERAGEIFS($F:$F,$A:$A,"base",$B:$B,B98,$C:$C,C98,$D:$D,D98,$K:$K,"VERDADERO")/86400,"")</f>
        <v>3.003472222222222E-3</v>
      </c>
      <c r="Q98" s="41" t="str">
        <f t="shared" ref="Q98:Q129" si="29">IF(OR(A98&lt;&gt;"inteligente",K98&lt;&gt;TRUE,P98=""),"",IF(P98-F98/86400&lt;0,"-","")&amp;INT(ABS(P98-F98/86400)*1440)&amp;" min "&amp;TEXT(MOD(ABS(P98-F98/86400)*86400,60),"00")&amp;" s")</f>
        <v>1 min 23 s</v>
      </c>
      <c r="R98" s="35">
        <f t="shared" ref="R98:R107" si="30">IF(OR(A98&lt;&gt;"inteligente",K98&lt;&gt;TRUE,P98=""),"",(P98-F98/86400)/P98)</f>
        <v>0.31791907514450857</v>
      </c>
      <c r="S98" s="6" t="str">
        <f t="shared" ref="S98:S129" si="31">IF(K98&lt;&gt;TRUE,"No llega",IF(A98="base","Referencia",IF(R98="","Sin referencia",IF(R98&gt;0,"Mejora",IF(R98&lt;0,"Empeora","Igual")))))</f>
        <v>Mejora</v>
      </c>
    </row>
    <row r="99" spans="1:19" x14ac:dyDescent="0.3">
      <c r="A99" s="38" t="s">
        <v>14</v>
      </c>
      <c r="B99" s="41" t="s">
        <v>12</v>
      </c>
      <c r="C99" s="41" t="s">
        <v>21</v>
      </c>
      <c r="D99" s="2">
        <v>250</v>
      </c>
      <c r="E99" s="2">
        <v>873</v>
      </c>
      <c r="F99" s="2">
        <v>623</v>
      </c>
      <c r="G99" s="2">
        <v>0</v>
      </c>
      <c r="H99" s="3">
        <v>2.9740000000000002</v>
      </c>
      <c r="I99" s="3">
        <v>1849.7860000000001</v>
      </c>
      <c r="J99" s="2">
        <v>0</v>
      </c>
      <c r="K99" s="15" t="b">
        <v>1</v>
      </c>
      <c r="L99" s="41" t="str">
        <f t="shared" si="24"/>
        <v>238829520 -&gt; 5989317 | t=250</v>
      </c>
      <c r="M99" s="6" t="str">
        <f t="shared" si="25"/>
        <v>10 min 23 s</v>
      </c>
      <c r="N99" s="6">
        <f t="shared" si="26"/>
        <v>10.7064</v>
      </c>
      <c r="O99" s="7">
        <f t="shared" si="27"/>
        <v>1.8497860000000002</v>
      </c>
      <c r="P99" s="29">
        <f t="shared" si="28"/>
        <v>3.003472222222222E-3</v>
      </c>
      <c r="Q99" s="41" t="str">
        <f t="shared" si="29"/>
        <v/>
      </c>
      <c r="R99" s="35" t="str">
        <f t="shared" si="30"/>
        <v/>
      </c>
      <c r="S99" s="6" t="str">
        <f t="shared" si="31"/>
        <v>Referencia</v>
      </c>
    </row>
    <row r="100" spans="1:19" x14ac:dyDescent="0.3">
      <c r="A100" s="38" t="s">
        <v>11</v>
      </c>
      <c r="B100" s="41" t="s">
        <v>12</v>
      </c>
      <c r="C100" s="41" t="s">
        <v>21</v>
      </c>
      <c r="D100" s="2">
        <v>250</v>
      </c>
      <c r="E100" s="2">
        <v>410</v>
      </c>
      <c r="F100" s="2">
        <v>160</v>
      </c>
      <c r="G100" s="2">
        <v>0</v>
      </c>
      <c r="H100" s="3">
        <v>11.552</v>
      </c>
      <c r="I100" s="3">
        <v>1836.769</v>
      </c>
      <c r="J100" s="2">
        <v>3</v>
      </c>
      <c r="K100" s="15" t="b">
        <v>1</v>
      </c>
      <c r="L100" s="41" t="str">
        <f t="shared" si="24"/>
        <v>238829520 -&gt; 5989317 | t=250</v>
      </c>
      <c r="M100" s="6" t="str">
        <f t="shared" si="25"/>
        <v>2 min 40 s</v>
      </c>
      <c r="N100" s="6">
        <f t="shared" si="26"/>
        <v>41.587200000000003</v>
      </c>
      <c r="O100" s="7">
        <f t="shared" si="27"/>
        <v>1.8367690000000001</v>
      </c>
      <c r="P100" s="29">
        <f t="shared" si="28"/>
        <v>3.003472222222222E-3</v>
      </c>
      <c r="Q100" s="41" t="str">
        <f t="shared" si="29"/>
        <v>1 min 40 s</v>
      </c>
      <c r="R100" s="35">
        <f t="shared" si="30"/>
        <v>0.38342967244701343</v>
      </c>
      <c r="S100" s="6" t="str">
        <f t="shared" si="31"/>
        <v>Mejora</v>
      </c>
    </row>
    <row r="101" spans="1:19" x14ac:dyDescent="0.3">
      <c r="A101" s="38" t="s">
        <v>11</v>
      </c>
      <c r="B101" s="41" t="s">
        <v>12</v>
      </c>
      <c r="C101" s="41" t="s">
        <v>21</v>
      </c>
      <c r="D101" s="2">
        <v>250</v>
      </c>
      <c r="E101" s="2">
        <v>405</v>
      </c>
      <c r="F101" s="2">
        <v>155</v>
      </c>
      <c r="G101" s="2">
        <v>0</v>
      </c>
      <c r="H101" s="3">
        <v>11.933999999999999</v>
      </c>
      <c r="I101" s="3">
        <v>1837.8869999999999</v>
      </c>
      <c r="J101" s="2">
        <v>3</v>
      </c>
      <c r="K101" s="15" t="b">
        <v>1</v>
      </c>
      <c r="L101" s="41" t="str">
        <f t="shared" si="24"/>
        <v>238829520 -&gt; 5989317 | t=250</v>
      </c>
      <c r="M101" s="6" t="str">
        <f t="shared" si="25"/>
        <v>2 min 35 s</v>
      </c>
      <c r="N101" s="6">
        <f t="shared" si="26"/>
        <v>42.962399999999995</v>
      </c>
      <c r="O101" s="7">
        <f t="shared" si="27"/>
        <v>1.837887</v>
      </c>
      <c r="P101" s="29">
        <f t="shared" si="28"/>
        <v>3.003472222222222E-3</v>
      </c>
      <c r="Q101" s="41" t="str">
        <f t="shared" si="29"/>
        <v>1 min 45 s</v>
      </c>
      <c r="R101" s="35">
        <f t="shared" si="30"/>
        <v>0.40269749518304426</v>
      </c>
      <c r="S101" s="6" t="str">
        <f t="shared" si="31"/>
        <v>Mejora</v>
      </c>
    </row>
    <row r="102" spans="1:19" x14ac:dyDescent="0.3">
      <c r="A102" s="38" t="s">
        <v>14</v>
      </c>
      <c r="B102" s="41" t="s">
        <v>12</v>
      </c>
      <c r="C102" s="41" t="s">
        <v>21</v>
      </c>
      <c r="D102" s="2">
        <v>250</v>
      </c>
      <c r="E102" s="2">
        <v>489</v>
      </c>
      <c r="F102" s="2">
        <v>239</v>
      </c>
      <c r="G102" s="2">
        <v>0</v>
      </c>
      <c r="H102" s="3">
        <v>7.7729999999999997</v>
      </c>
      <c r="I102" s="3">
        <v>1849.944</v>
      </c>
      <c r="J102" s="2">
        <v>0</v>
      </c>
      <c r="K102" s="15" t="b">
        <v>1</v>
      </c>
      <c r="L102" s="41" t="str">
        <f t="shared" si="24"/>
        <v>238829520 -&gt; 5989317 | t=250</v>
      </c>
      <c r="M102" s="6" t="str">
        <f t="shared" si="25"/>
        <v>3 min 59 s</v>
      </c>
      <c r="N102" s="6">
        <f t="shared" si="26"/>
        <v>27.982800000000001</v>
      </c>
      <c r="O102" s="7">
        <f t="shared" si="27"/>
        <v>1.849944</v>
      </c>
      <c r="P102" s="29">
        <f t="shared" si="28"/>
        <v>3.003472222222222E-3</v>
      </c>
      <c r="Q102" s="41" t="str">
        <f t="shared" si="29"/>
        <v/>
      </c>
      <c r="R102" s="35" t="str">
        <f t="shared" si="30"/>
        <v/>
      </c>
      <c r="S102" s="6" t="str">
        <f t="shared" si="31"/>
        <v>Referencia</v>
      </c>
    </row>
    <row r="103" spans="1:19" x14ac:dyDescent="0.3">
      <c r="A103" s="38" t="s">
        <v>11</v>
      </c>
      <c r="B103" s="41" t="s">
        <v>12</v>
      </c>
      <c r="C103" s="41" t="s">
        <v>21</v>
      </c>
      <c r="D103" s="2">
        <v>250</v>
      </c>
      <c r="E103" s="2">
        <v>424</v>
      </c>
      <c r="F103" s="2">
        <v>174</v>
      </c>
      <c r="G103" s="2">
        <v>0</v>
      </c>
      <c r="H103" s="3">
        <v>10.694000000000001</v>
      </c>
      <c r="I103" s="3">
        <v>1850.1079999999999</v>
      </c>
      <c r="J103" s="2">
        <v>2</v>
      </c>
      <c r="K103" s="15" t="b">
        <v>1</v>
      </c>
      <c r="L103" s="41" t="str">
        <f t="shared" si="24"/>
        <v>238829520 -&gt; 5989317 | t=250</v>
      </c>
      <c r="M103" s="6" t="str">
        <f t="shared" si="25"/>
        <v>2 min 54 s</v>
      </c>
      <c r="N103" s="6">
        <f t="shared" si="26"/>
        <v>38.498400000000004</v>
      </c>
      <c r="O103" s="7">
        <f t="shared" si="27"/>
        <v>1.8501079999999999</v>
      </c>
      <c r="P103" s="29">
        <f t="shared" si="28"/>
        <v>3.003472222222222E-3</v>
      </c>
      <c r="Q103" s="41" t="str">
        <f t="shared" si="29"/>
        <v>1 min 26 s</v>
      </c>
      <c r="R103" s="35">
        <f t="shared" si="30"/>
        <v>0.32947976878612717</v>
      </c>
      <c r="S103" s="6" t="str">
        <f t="shared" si="31"/>
        <v>Mejora</v>
      </c>
    </row>
    <row r="104" spans="1:19" x14ac:dyDescent="0.3">
      <c r="A104" s="38" t="s">
        <v>14</v>
      </c>
      <c r="B104" s="41" t="s">
        <v>12</v>
      </c>
      <c r="C104" s="41" t="s">
        <v>21</v>
      </c>
      <c r="D104" s="2">
        <v>250</v>
      </c>
      <c r="E104" s="2">
        <v>489</v>
      </c>
      <c r="F104" s="2">
        <v>239</v>
      </c>
      <c r="G104" s="2">
        <v>0</v>
      </c>
      <c r="H104" s="3">
        <v>7.7229999999999999</v>
      </c>
      <c r="I104" s="3">
        <v>1838.066</v>
      </c>
      <c r="J104" s="2">
        <v>0</v>
      </c>
      <c r="K104" s="15" t="b">
        <v>1</v>
      </c>
      <c r="L104" s="41" t="str">
        <f t="shared" si="24"/>
        <v>238829520 -&gt; 5989317 | t=250</v>
      </c>
      <c r="M104" s="6" t="str">
        <f t="shared" si="25"/>
        <v>3 min 59 s</v>
      </c>
      <c r="N104" s="6">
        <f t="shared" si="26"/>
        <v>27.802800000000001</v>
      </c>
      <c r="O104" s="7">
        <f t="shared" si="27"/>
        <v>1.838066</v>
      </c>
      <c r="P104" s="29">
        <f t="shared" si="28"/>
        <v>3.003472222222222E-3</v>
      </c>
      <c r="Q104" s="41" t="str">
        <f t="shared" si="29"/>
        <v/>
      </c>
      <c r="R104" s="35" t="str">
        <f t="shared" si="30"/>
        <v/>
      </c>
      <c r="S104" s="6" t="str">
        <f t="shared" si="31"/>
        <v>Referencia</v>
      </c>
    </row>
    <row r="105" spans="1:19" x14ac:dyDescent="0.3">
      <c r="A105" s="38" t="s">
        <v>11</v>
      </c>
      <c r="B105" s="41" t="s">
        <v>12</v>
      </c>
      <c r="C105" s="41" t="s">
        <v>21</v>
      </c>
      <c r="D105" s="2">
        <v>250</v>
      </c>
      <c r="E105" s="2">
        <v>423</v>
      </c>
      <c r="F105" s="2">
        <v>173</v>
      </c>
      <c r="G105" s="2">
        <v>0</v>
      </c>
      <c r="H105" s="3">
        <v>10.680999999999999</v>
      </c>
      <c r="I105" s="3">
        <v>1837.069</v>
      </c>
      <c r="J105" s="2">
        <v>2</v>
      </c>
      <c r="K105" s="15" t="b">
        <v>1</v>
      </c>
      <c r="L105" s="41" t="str">
        <f t="shared" si="24"/>
        <v>238829520 -&gt; 5989317 | t=250</v>
      </c>
      <c r="M105" s="6" t="str">
        <f t="shared" si="25"/>
        <v>2 min 53 s</v>
      </c>
      <c r="N105" s="6">
        <f t="shared" si="26"/>
        <v>38.451599999999999</v>
      </c>
      <c r="O105" s="7">
        <f t="shared" si="27"/>
        <v>1.8370690000000001</v>
      </c>
      <c r="P105" s="29">
        <f t="shared" si="28"/>
        <v>3.003472222222222E-3</v>
      </c>
      <c r="Q105" s="41" t="str">
        <f t="shared" si="29"/>
        <v>1 min 27 s</v>
      </c>
      <c r="R105" s="35">
        <f t="shared" si="30"/>
        <v>0.33333333333333326</v>
      </c>
      <c r="S105" s="6" t="str">
        <f t="shared" si="31"/>
        <v>Mejora</v>
      </c>
    </row>
    <row r="106" spans="1:19" x14ac:dyDescent="0.3">
      <c r="A106" s="38" t="s">
        <v>14</v>
      </c>
      <c r="B106" s="41" t="s">
        <v>12</v>
      </c>
      <c r="C106" s="41" t="s">
        <v>21</v>
      </c>
      <c r="D106" s="2">
        <v>250</v>
      </c>
      <c r="E106" s="2">
        <v>480</v>
      </c>
      <c r="F106" s="2">
        <v>230</v>
      </c>
      <c r="G106" s="2">
        <v>0</v>
      </c>
      <c r="H106" s="3">
        <v>8.0289999999999999</v>
      </c>
      <c r="I106" s="3">
        <v>1838.6659999999999</v>
      </c>
      <c r="J106" s="2">
        <v>0</v>
      </c>
      <c r="K106" s="15" t="b">
        <v>1</v>
      </c>
      <c r="L106" s="41" t="str">
        <f t="shared" si="24"/>
        <v>238829520 -&gt; 5989317 | t=250</v>
      </c>
      <c r="M106" s="6" t="str">
        <f t="shared" si="25"/>
        <v>3 min 50 s</v>
      </c>
      <c r="N106" s="6">
        <f t="shared" si="26"/>
        <v>28.904399999999999</v>
      </c>
      <c r="O106" s="7">
        <f t="shared" si="27"/>
        <v>1.8386659999999999</v>
      </c>
      <c r="P106" s="29">
        <f t="shared" si="28"/>
        <v>3.003472222222222E-3</v>
      </c>
      <c r="Q106" s="41" t="str">
        <f t="shared" si="29"/>
        <v/>
      </c>
      <c r="R106" s="35" t="str">
        <f t="shared" si="30"/>
        <v/>
      </c>
      <c r="S106" s="6" t="str">
        <f t="shared" si="31"/>
        <v>Referencia</v>
      </c>
    </row>
    <row r="107" spans="1:19" x14ac:dyDescent="0.3">
      <c r="A107" s="40" t="s">
        <v>11</v>
      </c>
      <c r="B107" s="43" t="s">
        <v>12</v>
      </c>
      <c r="C107" s="43" t="s">
        <v>21</v>
      </c>
      <c r="D107" s="21">
        <v>250</v>
      </c>
      <c r="E107" s="21">
        <v>395</v>
      </c>
      <c r="F107" s="21">
        <v>145</v>
      </c>
      <c r="G107" s="21">
        <v>0</v>
      </c>
      <c r="H107" s="22">
        <v>12.840999999999999</v>
      </c>
      <c r="I107" s="22">
        <v>1849.1669999999999</v>
      </c>
      <c r="J107" s="21">
        <v>3</v>
      </c>
      <c r="K107" s="23" t="b">
        <v>1</v>
      </c>
      <c r="L107" s="43" t="str">
        <f t="shared" si="24"/>
        <v>238829520 -&gt; 5989317 | t=250</v>
      </c>
      <c r="M107" s="24" t="str">
        <f t="shared" si="25"/>
        <v>2 min 25 s</v>
      </c>
      <c r="N107" s="24">
        <f t="shared" si="26"/>
        <v>46.227599999999995</v>
      </c>
      <c r="O107" s="26">
        <f t="shared" si="27"/>
        <v>1.849167</v>
      </c>
      <c r="P107" s="30">
        <f t="shared" si="28"/>
        <v>3.003472222222222E-3</v>
      </c>
      <c r="Q107" s="43" t="str">
        <f t="shared" si="29"/>
        <v>1 min 55 s</v>
      </c>
      <c r="R107" s="37">
        <f t="shared" si="30"/>
        <v>0.44123314065510594</v>
      </c>
      <c r="S107" s="24" t="str">
        <f t="shared" si="31"/>
        <v>Mejora</v>
      </c>
    </row>
    <row r="108" spans="1:19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9"/>
      <c r="Q108" s="2"/>
      <c r="R108" s="33"/>
      <c r="S108" s="2"/>
    </row>
    <row r="109" spans="1:19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9"/>
      <c r="Q109" s="2"/>
      <c r="R109" s="33"/>
      <c r="S109" s="2"/>
    </row>
    <row r="110" spans="1:19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9"/>
      <c r="Q110" s="2"/>
      <c r="R110" s="33"/>
      <c r="S110" s="2"/>
    </row>
    <row r="111" spans="1:19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9"/>
      <c r="Q111" s="2"/>
      <c r="R111" s="33"/>
      <c r="S111" s="2"/>
    </row>
    <row r="112" spans="1:19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9"/>
      <c r="Q112" s="2"/>
      <c r="R112" s="33"/>
      <c r="S112" s="2"/>
    </row>
    <row r="113" spans="1:19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9"/>
      <c r="Q113" s="2"/>
      <c r="R113" s="33"/>
      <c r="S113" s="2"/>
    </row>
    <row r="114" spans="1:19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9"/>
      <c r="Q114" s="2"/>
      <c r="R114" s="33"/>
      <c r="S114" s="2"/>
    </row>
    <row r="115" spans="1:19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9"/>
      <c r="Q115" s="2"/>
      <c r="R115" s="33"/>
      <c r="S115" s="2"/>
    </row>
    <row r="116" spans="1:19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9"/>
      <c r="Q116" s="2"/>
      <c r="R116" s="33"/>
      <c r="S116" s="2"/>
    </row>
    <row r="117" spans="1:19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9"/>
      <c r="Q117" s="2"/>
      <c r="R117" s="33"/>
      <c r="S117" s="2"/>
    </row>
    <row r="118" spans="1:19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9"/>
      <c r="Q118" s="2"/>
      <c r="R118" s="33"/>
      <c r="S118" s="2"/>
    </row>
    <row r="119" spans="1:19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9"/>
      <c r="Q119" s="2"/>
      <c r="R119" s="33"/>
      <c r="S119" s="2"/>
    </row>
    <row r="120" spans="1:19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9"/>
      <c r="Q120" s="2"/>
      <c r="R120" s="33"/>
      <c r="S120" s="2"/>
    </row>
    <row r="121" spans="1:19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9"/>
      <c r="Q121" s="2"/>
      <c r="R121" s="33"/>
      <c r="S121" s="2"/>
    </row>
    <row r="122" spans="1:19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9"/>
      <c r="Q122" s="2"/>
      <c r="R122" s="33"/>
      <c r="S122" s="2"/>
    </row>
    <row r="123" spans="1:19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9"/>
      <c r="Q123" s="2"/>
      <c r="R123" s="33"/>
      <c r="S123" s="2"/>
    </row>
    <row r="124" spans="1:19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9"/>
      <c r="Q124" s="2"/>
      <c r="R124" s="33"/>
      <c r="S124" s="2"/>
    </row>
    <row r="125" spans="1:19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9"/>
      <c r="Q125" s="2"/>
      <c r="R125" s="33"/>
      <c r="S125" s="2"/>
    </row>
    <row r="126" spans="1:19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9"/>
      <c r="Q126" s="2"/>
      <c r="R126" s="33"/>
      <c r="S126" s="2"/>
    </row>
    <row r="127" spans="1:19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9"/>
      <c r="Q127" s="2"/>
      <c r="R127" s="33"/>
      <c r="S127" s="2"/>
    </row>
    <row r="128" spans="1:19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9"/>
      <c r="Q128" s="2"/>
      <c r="R128" s="33"/>
      <c r="S128" s="2"/>
    </row>
    <row r="129" spans="1:19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9"/>
      <c r="Q129" s="2"/>
      <c r="R129" s="33"/>
      <c r="S129" s="2"/>
    </row>
    <row r="130" spans="1:19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9"/>
      <c r="Q130" s="2"/>
      <c r="R130" s="33"/>
      <c r="S130" s="2"/>
    </row>
    <row r="131" spans="1:19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9"/>
      <c r="Q131" s="2"/>
      <c r="R131" s="33"/>
      <c r="S131" s="2"/>
    </row>
    <row r="132" spans="1:19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9"/>
      <c r="Q132" s="2"/>
      <c r="R132" s="33"/>
      <c r="S132" s="2"/>
    </row>
    <row r="133" spans="1:19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9"/>
      <c r="Q133" s="2"/>
      <c r="R133" s="33"/>
      <c r="S133" s="2"/>
    </row>
    <row r="134" spans="1:19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9"/>
      <c r="Q134" s="2"/>
      <c r="R134" s="33"/>
      <c r="S134" s="2"/>
    </row>
    <row r="135" spans="1:19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9"/>
      <c r="Q135" s="2"/>
      <c r="R135" s="33"/>
      <c r="S135" s="2"/>
    </row>
    <row r="136" spans="1:19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9"/>
      <c r="Q136" s="2"/>
      <c r="R136" s="33"/>
      <c r="S136" s="2"/>
    </row>
    <row r="137" spans="1:19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9"/>
      <c r="Q137" s="2"/>
      <c r="R137" s="33"/>
      <c r="S137" s="2"/>
    </row>
    <row r="138" spans="1:19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9"/>
      <c r="Q138" s="2"/>
      <c r="R138" s="33"/>
      <c r="S138" s="2"/>
    </row>
    <row r="139" spans="1:19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9"/>
      <c r="Q139" s="2"/>
      <c r="R139" s="33"/>
      <c r="S139" s="2"/>
    </row>
    <row r="140" spans="1:19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9"/>
      <c r="Q140" s="2"/>
      <c r="R140" s="33"/>
      <c r="S140" s="2"/>
    </row>
    <row r="141" spans="1:19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9"/>
      <c r="Q141" s="2"/>
      <c r="R141" s="33"/>
      <c r="S141" s="2"/>
    </row>
    <row r="142" spans="1:19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9"/>
      <c r="Q142" s="2"/>
      <c r="R142" s="33"/>
      <c r="S142" s="2"/>
    </row>
    <row r="143" spans="1:19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9"/>
      <c r="Q143" s="2"/>
      <c r="R143" s="33"/>
      <c r="S143" s="2"/>
    </row>
    <row r="144" spans="1:19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9"/>
      <c r="Q144" s="2"/>
      <c r="R144" s="33"/>
      <c r="S144" s="2"/>
    </row>
    <row r="145" spans="1:19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9"/>
      <c r="Q145" s="2"/>
      <c r="R145" s="33"/>
      <c r="S145" s="2"/>
    </row>
    <row r="146" spans="1:19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9"/>
      <c r="Q146" s="2"/>
      <c r="R146" s="33"/>
      <c r="S146" s="2"/>
    </row>
    <row r="147" spans="1:19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9"/>
      <c r="Q147" s="2"/>
      <c r="R147" s="33"/>
      <c r="S147" s="2"/>
    </row>
    <row r="148" spans="1:19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9"/>
      <c r="Q148" s="2"/>
      <c r="R148" s="33"/>
      <c r="S148" s="2"/>
    </row>
    <row r="149" spans="1:19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9"/>
      <c r="Q149" s="2"/>
      <c r="R149" s="33"/>
      <c r="S149" s="2"/>
    </row>
    <row r="150" spans="1:19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9"/>
      <c r="Q150" s="2"/>
      <c r="R150" s="33"/>
      <c r="S150" s="2"/>
    </row>
    <row r="151" spans="1:19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9"/>
      <c r="Q151" s="2"/>
      <c r="R151" s="33"/>
      <c r="S151" s="2"/>
    </row>
    <row r="152" spans="1:19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9"/>
      <c r="Q152" s="2"/>
      <c r="R152" s="33"/>
      <c r="S152" s="2"/>
    </row>
    <row r="153" spans="1:19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9"/>
      <c r="Q153" s="2"/>
      <c r="R153" s="33"/>
      <c r="S153" s="2"/>
    </row>
    <row r="154" spans="1:19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9"/>
      <c r="Q154" s="2"/>
      <c r="R154" s="33"/>
      <c r="S154" s="2"/>
    </row>
    <row r="155" spans="1:19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9"/>
      <c r="Q155" s="2"/>
      <c r="R155" s="33"/>
      <c r="S155" s="2"/>
    </row>
    <row r="156" spans="1:19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9"/>
      <c r="Q156" s="2"/>
      <c r="R156" s="33"/>
      <c r="S156" s="2"/>
    </row>
    <row r="157" spans="1:19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9"/>
      <c r="Q157" s="2"/>
      <c r="R157" s="33"/>
      <c r="S157" s="2"/>
    </row>
    <row r="158" spans="1:19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9"/>
      <c r="Q158" s="2"/>
      <c r="R158" s="33"/>
      <c r="S158" s="2"/>
    </row>
    <row r="159" spans="1:19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9"/>
      <c r="Q159" s="2"/>
      <c r="R159" s="33"/>
      <c r="S159" s="2"/>
    </row>
    <row r="160" spans="1:19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9"/>
      <c r="Q160" s="2"/>
      <c r="R160" s="33"/>
      <c r="S160" s="2"/>
    </row>
    <row r="161" spans="1:19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9"/>
      <c r="Q161" s="2"/>
      <c r="R161" s="33"/>
      <c r="S161" s="2"/>
    </row>
    <row r="162" spans="1:19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9"/>
      <c r="Q162" s="2"/>
      <c r="R162" s="33"/>
      <c r="S162" s="2"/>
    </row>
    <row r="163" spans="1:19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9"/>
      <c r="Q163" s="2"/>
      <c r="R163" s="33"/>
      <c r="S163" s="2"/>
    </row>
    <row r="164" spans="1:19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9"/>
      <c r="Q164" s="2"/>
      <c r="R164" s="33"/>
      <c r="S164" s="2"/>
    </row>
    <row r="165" spans="1:19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9"/>
      <c r="Q165" s="2"/>
      <c r="R165" s="33"/>
      <c r="S165" s="2"/>
    </row>
    <row r="166" spans="1:19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9"/>
      <c r="Q166" s="2"/>
      <c r="R166" s="33"/>
      <c r="S166" s="2"/>
    </row>
    <row r="167" spans="1:19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9"/>
      <c r="Q167" s="2"/>
      <c r="R167" s="33"/>
      <c r="S167" s="2"/>
    </row>
    <row r="168" spans="1:19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9"/>
      <c r="Q168" s="2"/>
      <c r="R168" s="33"/>
      <c r="S168" s="2"/>
    </row>
    <row r="169" spans="1:19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9"/>
      <c r="Q169" s="2"/>
      <c r="R169" s="33"/>
      <c r="S169" s="2"/>
    </row>
    <row r="170" spans="1:19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9"/>
      <c r="Q170" s="2"/>
      <c r="R170" s="33"/>
      <c r="S170" s="2"/>
    </row>
    <row r="171" spans="1:19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9"/>
      <c r="Q171" s="2"/>
      <c r="R171" s="33"/>
      <c r="S171" s="2"/>
    </row>
    <row r="172" spans="1:19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9"/>
      <c r="Q172" s="2"/>
      <c r="R172" s="33"/>
      <c r="S172" s="2"/>
    </row>
    <row r="173" spans="1:19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9"/>
      <c r="Q173" s="2"/>
      <c r="R173" s="33"/>
      <c r="S173" s="2"/>
    </row>
    <row r="174" spans="1:19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9"/>
      <c r="Q174" s="2"/>
      <c r="R174" s="33"/>
      <c r="S174" s="2"/>
    </row>
    <row r="175" spans="1:19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9"/>
      <c r="Q175" s="2"/>
      <c r="R175" s="33"/>
      <c r="S175" s="2"/>
    </row>
    <row r="176" spans="1:19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9"/>
      <c r="Q176" s="2"/>
      <c r="R176" s="33"/>
      <c r="S176" s="2"/>
    </row>
    <row r="177" spans="1:19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9"/>
      <c r="Q177" s="2"/>
      <c r="R177" s="33"/>
      <c r="S177" s="2"/>
    </row>
    <row r="178" spans="1:19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9"/>
      <c r="Q178" s="2"/>
      <c r="R178" s="33"/>
      <c r="S178" s="2"/>
    </row>
    <row r="179" spans="1:19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9"/>
      <c r="Q179" s="2"/>
      <c r="R179" s="33"/>
      <c r="S179" s="2"/>
    </row>
    <row r="180" spans="1:19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9"/>
      <c r="Q180" s="2"/>
      <c r="R180" s="33"/>
      <c r="S180" s="2"/>
    </row>
    <row r="181" spans="1:19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9"/>
      <c r="Q181" s="2"/>
      <c r="R181" s="33"/>
      <c r="S181" s="2"/>
    </row>
    <row r="182" spans="1:19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9"/>
      <c r="Q182" s="2"/>
      <c r="R182" s="33"/>
      <c r="S182" s="2"/>
    </row>
    <row r="183" spans="1:19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9"/>
      <c r="Q183" s="2"/>
      <c r="R183" s="33"/>
      <c r="S183" s="2"/>
    </row>
    <row r="184" spans="1:19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9"/>
      <c r="Q184" s="2"/>
      <c r="R184" s="33"/>
      <c r="S184" s="2"/>
    </row>
    <row r="185" spans="1:19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9"/>
      <c r="Q185" s="2"/>
      <c r="R185" s="33"/>
      <c r="S185" s="2"/>
    </row>
    <row r="186" spans="1:19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9"/>
      <c r="Q186" s="2"/>
      <c r="R186" s="33"/>
      <c r="S186" s="2"/>
    </row>
    <row r="187" spans="1:19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9"/>
      <c r="Q187" s="2"/>
      <c r="R187" s="33"/>
      <c r="S187" s="2"/>
    </row>
    <row r="188" spans="1:19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9"/>
      <c r="Q188" s="2"/>
      <c r="R188" s="33"/>
      <c r="S188" s="2"/>
    </row>
    <row r="189" spans="1:19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9"/>
      <c r="Q189" s="2"/>
      <c r="R189" s="33"/>
      <c r="S189" s="2"/>
    </row>
    <row r="190" spans="1:19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9"/>
      <c r="Q190" s="2"/>
      <c r="R190" s="33"/>
      <c r="S190" s="2"/>
    </row>
    <row r="191" spans="1:19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9"/>
      <c r="Q191" s="2"/>
      <c r="R191" s="33"/>
      <c r="S191" s="2"/>
    </row>
    <row r="192" spans="1:19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9"/>
      <c r="Q192" s="2"/>
      <c r="R192" s="33"/>
      <c r="S192" s="2"/>
    </row>
    <row r="193" spans="1:19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9"/>
      <c r="Q193" s="2"/>
      <c r="R193" s="33"/>
      <c r="S193" s="2"/>
    </row>
    <row r="194" spans="1:19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9"/>
      <c r="Q194" s="2"/>
      <c r="R194" s="33"/>
      <c r="S194" s="2"/>
    </row>
    <row r="195" spans="1:19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9"/>
      <c r="Q195" s="2"/>
      <c r="R195" s="33"/>
      <c r="S195" s="2"/>
    </row>
    <row r="196" spans="1:19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9"/>
      <c r="Q196" s="2"/>
      <c r="R196" s="33"/>
      <c r="S196" s="2"/>
    </row>
    <row r="197" spans="1:19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9"/>
      <c r="Q197" s="2"/>
      <c r="R197" s="33"/>
      <c r="S197" s="2"/>
    </row>
    <row r="198" spans="1:19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9"/>
      <c r="Q198" s="2"/>
      <c r="R198" s="33"/>
      <c r="S198" s="2"/>
    </row>
    <row r="199" spans="1:19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9"/>
      <c r="Q199" s="2"/>
      <c r="R199" s="33"/>
      <c r="S199" s="2"/>
    </row>
    <row r="200" spans="1:19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9"/>
      <c r="Q200" s="2"/>
      <c r="R200" s="33"/>
      <c r="S200" s="2"/>
    </row>
    <row r="201" spans="1:19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9"/>
      <c r="Q201" s="2"/>
      <c r="R201" s="33"/>
      <c r="S201" s="2"/>
    </row>
    <row r="202" spans="1:19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9"/>
      <c r="Q202" s="2"/>
      <c r="R202" s="33"/>
      <c r="S202" s="2"/>
    </row>
    <row r="203" spans="1:19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9"/>
      <c r="Q203" s="2"/>
      <c r="R203" s="33"/>
      <c r="S203" s="2"/>
    </row>
    <row r="204" spans="1:19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9"/>
      <c r="Q204" s="2"/>
      <c r="R204" s="33"/>
      <c r="S204" s="2"/>
    </row>
    <row r="205" spans="1:19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9"/>
      <c r="Q205" s="2"/>
      <c r="R205" s="33"/>
      <c r="S205" s="2"/>
    </row>
    <row r="206" spans="1:19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9"/>
      <c r="Q206" s="2"/>
      <c r="R206" s="33"/>
      <c r="S206" s="2"/>
    </row>
    <row r="207" spans="1:19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9"/>
      <c r="Q207" s="2"/>
      <c r="R207" s="33"/>
      <c r="S207" s="2"/>
    </row>
    <row r="208" spans="1:19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9"/>
      <c r="Q208" s="2"/>
      <c r="R208" s="33"/>
      <c r="S208" s="2"/>
    </row>
    <row r="209" spans="1:19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9"/>
      <c r="Q209" s="2"/>
      <c r="R209" s="33"/>
      <c r="S209" s="2"/>
    </row>
    <row r="210" spans="1:19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9"/>
      <c r="Q210" s="2"/>
      <c r="R210" s="33"/>
      <c r="S210" s="2"/>
    </row>
    <row r="211" spans="1:19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9"/>
      <c r="Q211" s="2"/>
      <c r="R211" s="33"/>
      <c r="S211" s="2"/>
    </row>
    <row r="212" spans="1:19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9"/>
      <c r="Q212" s="2"/>
      <c r="R212" s="33"/>
      <c r="S212" s="2"/>
    </row>
    <row r="213" spans="1:19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9"/>
      <c r="Q213" s="2"/>
      <c r="R213" s="33"/>
      <c r="S213" s="2"/>
    </row>
    <row r="214" spans="1:19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9"/>
      <c r="Q214" s="2"/>
      <c r="R214" s="33"/>
      <c r="S214" s="2"/>
    </row>
    <row r="215" spans="1:19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9"/>
      <c r="Q215" s="2"/>
      <c r="R215" s="33"/>
      <c r="S215" s="2"/>
    </row>
    <row r="216" spans="1:19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9"/>
      <c r="Q216" s="2"/>
      <c r="R216" s="33"/>
      <c r="S216" s="2"/>
    </row>
    <row r="217" spans="1:19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9"/>
      <c r="Q217" s="2"/>
      <c r="R217" s="33"/>
      <c r="S217" s="2"/>
    </row>
    <row r="218" spans="1:19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9"/>
      <c r="Q218" s="2"/>
      <c r="R218" s="33"/>
      <c r="S218" s="2"/>
    </row>
    <row r="219" spans="1:19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9"/>
      <c r="Q219" s="2"/>
      <c r="R219" s="33"/>
      <c r="S219" s="2"/>
    </row>
    <row r="220" spans="1:19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9"/>
      <c r="Q220" s="2"/>
      <c r="R220" s="33"/>
      <c r="S220" s="2"/>
    </row>
    <row r="221" spans="1:19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9"/>
      <c r="Q221" s="2"/>
      <c r="R221" s="33"/>
      <c r="S221" s="2"/>
    </row>
    <row r="222" spans="1:19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9"/>
      <c r="Q222" s="2"/>
      <c r="R222" s="33"/>
      <c r="S222" s="2"/>
    </row>
    <row r="223" spans="1:19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9"/>
      <c r="Q223" s="2"/>
      <c r="R223" s="33"/>
      <c r="S223" s="2"/>
    </row>
    <row r="224" spans="1:19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9"/>
      <c r="Q224" s="2"/>
      <c r="R224" s="33"/>
      <c r="S224" s="2"/>
    </row>
    <row r="225" spans="1:19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9"/>
      <c r="Q225" s="2"/>
      <c r="R225" s="33"/>
      <c r="S225" s="2"/>
    </row>
    <row r="226" spans="1:19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9"/>
      <c r="Q226" s="2"/>
      <c r="R226" s="33"/>
      <c r="S226" s="2"/>
    </row>
    <row r="227" spans="1:19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9"/>
      <c r="Q227" s="2"/>
      <c r="R227" s="33"/>
      <c r="S227" s="2"/>
    </row>
    <row r="228" spans="1:19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9"/>
      <c r="Q228" s="2"/>
      <c r="R228" s="33"/>
      <c r="S228" s="2"/>
    </row>
    <row r="229" spans="1:19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9"/>
      <c r="Q229" s="2"/>
      <c r="R229" s="33"/>
      <c r="S229" s="2"/>
    </row>
    <row r="230" spans="1:19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9"/>
      <c r="Q230" s="2"/>
      <c r="R230" s="33"/>
      <c r="S230" s="2"/>
    </row>
    <row r="231" spans="1:19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9"/>
      <c r="Q231" s="2"/>
      <c r="R231" s="33"/>
      <c r="S231" s="2"/>
    </row>
    <row r="232" spans="1:19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9"/>
      <c r="Q232" s="2"/>
      <c r="R232" s="33"/>
      <c r="S232" s="2"/>
    </row>
    <row r="233" spans="1:19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9"/>
      <c r="Q233" s="2"/>
      <c r="R233" s="33"/>
      <c r="S233" s="2"/>
    </row>
    <row r="234" spans="1:19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9"/>
      <c r="Q234" s="2"/>
      <c r="R234" s="33"/>
      <c r="S234" s="2"/>
    </row>
    <row r="235" spans="1:19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9"/>
      <c r="Q235" s="2"/>
      <c r="R235" s="33"/>
      <c r="S235" s="2"/>
    </row>
    <row r="236" spans="1:19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9"/>
      <c r="Q236" s="2"/>
      <c r="R236" s="33"/>
      <c r="S236" s="2"/>
    </row>
    <row r="237" spans="1:19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9"/>
      <c r="Q237" s="2"/>
      <c r="R237" s="33"/>
      <c r="S237" s="2"/>
    </row>
    <row r="238" spans="1:19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9"/>
      <c r="Q238" s="2"/>
      <c r="R238" s="33"/>
      <c r="S238" s="2"/>
    </row>
    <row r="239" spans="1:19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9"/>
      <c r="Q239" s="2"/>
      <c r="R239" s="33"/>
      <c r="S239" s="2"/>
    </row>
    <row r="240" spans="1:19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9"/>
      <c r="Q240" s="2"/>
      <c r="R240" s="33"/>
      <c r="S240" s="2"/>
    </row>
    <row r="241" spans="1:19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9"/>
      <c r="Q241" s="2"/>
      <c r="R241" s="33"/>
      <c r="S241" s="2"/>
    </row>
    <row r="242" spans="1:19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9"/>
      <c r="Q242" s="2"/>
      <c r="R242" s="33"/>
      <c r="S242" s="2"/>
    </row>
    <row r="243" spans="1:19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9"/>
      <c r="Q243" s="2"/>
      <c r="R243" s="33"/>
      <c r="S243" s="2"/>
    </row>
    <row r="244" spans="1:19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9"/>
      <c r="Q244" s="2"/>
      <c r="R244" s="33"/>
      <c r="S244" s="2"/>
    </row>
    <row r="245" spans="1:19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9"/>
      <c r="Q245" s="2"/>
      <c r="R245" s="33"/>
      <c r="S245" s="2"/>
    </row>
    <row r="246" spans="1:19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9"/>
      <c r="Q246" s="2"/>
      <c r="R246" s="33"/>
      <c r="S246" s="2"/>
    </row>
    <row r="247" spans="1:19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9"/>
      <c r="Q247" s="2"/>
      <c r="R247" s="33"/>
      <c r="S247" s="2"/>
    </row>
    <row r="248" spans="1:19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9"/>
      <c r="Q248" s="2"/>
      <c r="R248" s="33"/>
      <c r="S248" s="2"/>
    </row>
    <row r="249" spans="1:19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9"/>
      <c r="Q249" s="2"/>
      <c r="R249" s="33"/>
      <c r="S249" s="2"/>
    </row>
    <row r="250" spans="1:19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9"/>
      <c r="Q250" s="2"/>
      <c r="R250" s="33"/>
      <c r="S250" s="2"/>
    </row>
    <row r="251" spans="1:19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9"/>
      <c r="Q251" s="2"/>
      <c r="R251" s="33"/>
      <c r="S251" s="2"/>
    </row>
    <row r="252" spans="1:19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9"/>
      <c r="Q252" s="2"/>
      <c r="R252" s="33"/>
      <c r="S252" s="2"/>
    </row>
    <row r="253" spans="1:19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9"/>
      <c r="Q253" s="2"/>
      <c r="R253" s="33"/>
      <c r="S253" s="2"/>
    </row>
    <row r="254" spans="1:19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9"/>
      <c r="Q254" s="2"/>
      <c r="R254" s="33"/>
      <c r="S254" s="2"/>
    </row>
    <row r="255" spans="1:19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9"/>
      <c r="Q255" s="2"/>
      <c r="R255" s="33"/>
      <c r="S255" s="2"/>
    </row>
    <row r="256" spans="1:19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9"/>
      <c r="Q256" s="2"/>
      <c r="R256" s="33"/>
      <c r="S256" s="2"/>
    </row>
    <row r="257" spans="1:19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9"/>
      <c r="Q257" s="2"/>
      <c r="R257" s="33"/>
      <c r="S257" s="2"/>
    </row>
    <row r="258" spans="1:19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9"/>
      <c r="Q258" s="2"/>
      <c r="R258" s="33"/>
      <c r="S258" s="2"/>
    </row>
    <row r="259" spans="1:19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9"/>
      <c r="Q259" s="2"/>
      <c r="R259" s="33"/>
      <c r="S259" s="2"/>
    </row>
    <row r="260" spans="1:19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9"/>
      <c r="Q260" s="2"/>
      <c r="R260" s="33"/>
      <c r="S260" s="2"/>
    </row>
    <row r="261" spans="1:19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9"/>
      <c r="Q261" s="2"/>
      <c r="R261" s="33"/>
      <c r="S261" s="2"/>
    </row>
    <row r="262" spans="1:19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9"/>
      <c r="Q262" s="2"/>
      <c r="R262" s="33"/>
      <c r="S262" s="2"/>
    </row>
    <row r="263" spans="1:19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9"/>
      <c r="Q263" s="2"/>
      <c r="R263" s="33"/>
      <c r="S263" s="2"/>
    </row>
    <row r="264" spans="1:19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9"/>
      <c r="Q264" s="2"/>
      <c r="R264" s="33"/>
      <c r="S264" s="2"/>
    </row>
    <row r="265" spans="1:19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9"/>
      <c r="Q265" s="2"/>
      <c r="R265" s="33"/>
      <c r="S265" s="2"/>
    </row>
    <row r="266" spans="1:19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9"/>
      <c r="Q266" s="2"/>
      <c r="R266" s="33"/>
      <c r="S266" s="2"/>
    </row>
    <row r="267" spans="1:19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9"/>
      <c r="Q267" s="2"/>
      <c r="R267" s="33"/>
      <c r="S267" s="2"/>
    </row>
    <row r="268" spans="1:19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9"/>
      <c r="Q268" s="2"/>
      <c r="R268" s="33"/>
      <c r="S268" s="2"/>
    </row>
    <row r="269" spans="1:19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9"/>
      <c r="Q269" s="2"/>
      <c r="R269" s="33"/>
      <c r="S269" s="2"/>
    </row>
    <row r="270" spans="1:19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9"/>
      <c r="Q270" s="2"/>
      <c r="R270" s="33"/>
      <c r="S270" s="2"/>
    </row>
    <row r="271" spans="1:19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9"/>
      <c r="Q271" s="2"/>
      <c r="R271" s="33"/>
      <c r="S271" s="2"/>
    </row>
    <row r="272" spans="1:19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9"/>
      <c r="Q272" s="2"/>
      <c r="R272" s="33"/>
      <c r="S272" s="2"/>
    </row>
    <row r="273" spans="1:19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9"/>
      <c r="Q273" s="2"/>
      <c r="R273" s="33"/>
      <c r="S273" s="2"/>
    </row>
    <row r="274" spans="1:19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9"/>
      <c r="Q274" s="2"/>
      <c r="R274" s="33"/>
      <c r="S274" s="2"/>
    </row>
    <row r="275" spans="1:19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9"/>
      <c r="Q275" s="2"/>
      <c r="R275" s="33"/>
      <c r="S275" s="2"/>
    </row>
    <row r="276" spans="1:19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9"/>
      <c r="Q276" s="2"/>
      <c r="R276" s="33"/>
      <c r="S276" s="2"/>
    </row>
    <row r="277" spans="1:19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9"/>
      <c r="Q277" s="2"/>
      <c r="R277" s="33"/>
      <c r="S277" s="2"/>
    </row>
    <row r="278" spans="1:19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9"/>
      <c r="Q278" s="2"/>
      <c r="R278" s="33"/>
      <c r="S278" s="2"/>
    </row>
    <row r="279" spans="1:19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9"/>
      <c r="Q279" s="2"/>
      <c r="R279" s="33"/>
      <c r="S279" s="2"/>
    </row>
    <row r="280" spans="1:19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9"/>
      <c r="Q280" s="2"/>
      <c r="R280" s="33"/>
      <c r="S280" s="2"/>
    </row>
    <row r="281" spans="1:19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9"/>
      <c r="Q281" s="2"/>
      <c r="R281" s="33"/>
      <c r="S281" s="2"/>
    </row>
    <row r="282" spans="1:19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9"/>
      <c r="Q282" s="2"/>
      <c r="R282" s="33"/>
      <c r="S282" s="2"/>
    </row>
    <row r="283" spans="1:19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9"/>
      <c r="Q283" s="2"/>
      <c r="R283" s="33"/>
      <c r="S283" s="2"/>
    </row>
    <row r="284" spans="1:19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9"/>
      <c r="Q284" s="2"/>
      <c r="R284" s="33"/>
      <c r="S284" s="2"/>
    </row>
    <row r="285" spans="1:19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9"/>
      <c r="Q285" s="2"/>
      <c r="R285" s="33"/>
      <c r="S285" s="2"/>
    </row>
    <row r="286" spans="1:19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9"/>
      <c r="Q286" s="2"/>
      <c r="R286" s="33"/>
      <c r="S286" s="2"/>
    </row>
    <row r="287" spans="1:19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9"/>
      <c r="Q287" s="2"/>
      <c r="R287" s="33"/>
      <c r="S287" s="2"/>
    </row>
    <row r="288" spans="1:19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9"/>
      <c r="Q288" s="2"/>
      <c r="R288" s="33"/>
      <c r="S288" s="2"/>
    </row>
    <row r="289" spans="1:19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9"/>
      <c r="Q289" s="2"/>
      <c r="R289" s="33"/>
      <c r="S289" s="2"/>
    </row>
    <row r="290" spans="1:19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9"/>
      <c r="Q290" s="2"/>
      <c r="R290" s="33"/>
      <c r="S290" s="2"/>
    </row>
    <row r="291" spans="1:19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9"/>
      <c r="Q291" s="2"/>
      <c r="R291" s="33"/>
      <c r="S291" s="2"/>
    </row>
    <row r="292" spans="1:19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9"/>
      <c r="Q292" s="2"/>
      <c r="R292" s="33"/>
      <c r="S292" s="2"/>
    </row>
    <row r="293" spans="1:19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9"/>
      <c r="Q293" s="2"/>
      <c r="R293" s="33"/>
      <c r="S293" s="2"/>
    </row>
    <row r="294" spans="1:19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9"/>
      <c r="Q294" s="2"/>
      <c r="R294" s="33"/>
      <c r="S294" s="2"/>
    </row>
    <row r="295" spans="1:19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9"/>
      <c r="Q295" s="2"/>
      <c r="R295" s="33"/>
      <c r="S295" s="2"/>
    </row>
    <row r="296" spans="1:19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9"/>
      <c r="Q296" s="2"/>
      <c r="R296" s="33"/>
      <c r="S296" s="2"/>
    </row>
    <row r="297" spans="1:19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9"/>
      <c r="Q297" s="2"/>
      <c r="R297" s="33"/>
      <c r="S297" s="2"/>
    </row>
    <row r="298" spans="1:19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9"/>
      <c r="Q298" s="2"/>
      <c r="R298" s="33"/>
      <c r="S298" s="2"/>
    </row>
    <row r="299" spans="1:19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9"/>
      <c r="Q299" s="2"/>
      <c r="R299" s="33"/>
      <c r="S299" s="2"/>
    </row>
    <row r="300" spans="1:19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9"/>
      <c r="Q300" s="2"/>
      <c r="R300" s="33"/>
      <c r="S300" s="2"/>
    </row>
    <row r="301" spans="1:19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9"/>
      <c r="Q301" s="2"/>
      <c r="R301" s="33"/>
      <c r="S301" s="2"/>
    </row>
    <row r="302" spans="1:19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9"/>
      <c r="Q302" s="2"/>
      <c r="R302" s="33"/>
      <c r="S302" s="2"/>
    </row>
    <row r="303" spans="1:19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9"/>
      <c r="Q303" s="2"/>
      <c r="R303" s="33"/>
      <c r="S303" s="2"/>
    </row>
    <row r="304" spans="1:19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9"/>
      <c r="Q304" s="2"/>
      <c r="R304" s="33"/>
      <c r="S304" s="2"/>
    </row>
    <row r="305" spans="1:19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9"/>
      <c r="Q305" s="2"/>
      <c r="R305" s="33"/>
      <c r="S305" s="2"/>
    </row>
    <row r="306" spans="1:19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9"/>
      <c r="Q306" s="2"/>
      <c r="R306" s="33"/>
      <c r="S306" s="2"/>
    </row>
    <row r="307" spans="1:19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9"/>
      <c r="Q307" s="2"/>
      <c r="R307" s="33"/>
      <c r="S307" s="2"/>
    </row>
    <row r="308" spans="1:19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9"/>
      <c r="Q308" s="2"/>
      <c r="R308" s="33"/>
      <c r="S308" s="2"/>
    </row>
    <row r="309" spans="1:19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9"/>
      <c r="Q309" s="2"/>
      <c r="R309" s="33"/>
      <c r="S309" s="2"/>
    </row>
    <row r="310" spans="1:19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9"/>
      <c r="Q310" s="2"/>
      <c r="R310" s="33"/>
      <c r="S310" s="2"/>
    </row>
    <row r="311" spans="1:19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9"/>
      <c r="Q311" s="2"/>
      <c r="R311" s="33"/>
      <c r="S311" s="2"/>
    </row>
    <row r="312" spans="1:19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9"/>
      <c r="Q312" s="2"/>
      <c r="R312" s="33"/>
      <c r="S312" s="2"/>
    </row>
    <row r="313" spans="1:19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9"/>
      <c r="Q313" s="2"/>
      <c r="R313" s="33"/>
      <c r="S313" s="2"/>
    </row>
    <row r="314" spans="1:19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9"/>
      <c r="Q314" s="2"/>
      <c r="R314" s="33"/>
      <c r="S314" s="2"/>
    </row>
    <row r="315" spans="1:19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9"/>
      <c r="Q315" s="2"/>
      <c r="R315" s="33"/>
      <c r="S315" s="2"/>
    </row>
    <row r="316" spans="1:19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9"/>
      <c r="Q316" s="2"/>
      <c r="R316" s="33"/>
      <c r="S316" s="2"/>
    </row>
    <row r="317" spans="1:19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9"/>
      <c r="Q317" s="2"/>
      <c r="R317" s="33"/>
      <c r="S317" s="2"/>
    </row>
    <row r="318" spans="1:19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9"/>
      <c r="Q318" s="2"/>
      <c r="R318" s="33"/>
      <c r="S318" s="2"/>
    </row>
    <row r="319" spans="1:19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9"/>
      <c r="Q319" s="2"/>
      <c r="R319" s="33"/>
      <c r="S319" s="2"/>
    </row>
    <row r="320" spans="1:19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9"/>
      <c r="Q320" s="2"/>
      <c r="R320" s="33"/>
      <c r="S320" s="2"/>
    </row>
    <row r="321" spans="1:19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9"/>
      <c r="Q321" s="2"/>
      <c r="R321" s="33"/>
      <c r="S321" s="2"/>
    </row>
    <row r="322" spans="1:19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9"/>
      <c r="Q322" s="2"/>
      <c r="R322" s="33"/>
      <c r="S322" s="2"/>
    </row>
    <row r="323" spans="1:19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9"/>
      <c r="Q323" s="2"/>
      <c r="R323" s="33"/>
      <c r="S323" s="2"/>
    </row>
    <row r="324" spans="1:19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9"/>
      <c r="Q324" s="2"/>
      <c r="R324" s="33"/>
      <c r="S324" s="2"/>
    </row>
    <row r="325" spans="1:19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9"/>
      <c r="Q325" s="2"/>
      <c r="R325" s="33"/>
      <c r="S325" s="2"/>
    </row>
    <row r="326" spans="1:19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9"/>
      <c r="Q326" s="2"/>
      <c r="R326" s="33"/>
      <c r="S326" s="2"/>
    </row>
    <row r="327" spans="1:19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9"/>
      <c r="Q327" s="2"/>
      <c r="R327" s="33"/>
      <c r="S327" s="2"/>
    </row>
    <row r="328" spans="1:19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9"/>
      <c r="Q328" s="2"/>
      <c r="R328" s="33"/>
      <c r="S328" s="2"/>
    </row>
    <row r="329" spans="1:19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9"/>
      <c r="Q329" s="2"/>
      <c r="R329" s="33"/>
      <c r="S329" s="2"/>
    </row>
    <row r="330" spans="1:19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9"/>
      <c r="Q330" s="2"/>
      <c r="R330" s="33"/>
      <c r="S330" s="2"/>
    </row>
    <row r="331" spans="1:19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9"/>
      <c r="Q331" s="2"/>
      <c r="R331" s="33"/>
      <c r="S331" s="2"/>
    </row>
    <row r="332" spans="1:19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9"/>
      <c r="Q332" s="2"/>
      <c r="R332" s="33"/>
      <c r="S332" s="2"/>
    </row>
    <row r="333" spans="1:19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9"/>
      <c r="Q333" s="2"/>
      <c r="R333" s="33"/>
      <c r="S333" s="2"/>
    </row>
    <row r="334" spans="1:19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9"/>
      <c r="Q334" s="2"/>
      <c r="R334" s="33"/>
      <c r="S334" s="2"/>
    </row>
    <row r="335" spans="1:19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9"/>
      <c r="Q335" s="2"/>
      <c r="R335" s="33"/>
      <c r="S335" s="2"/>
    </row>
    <row r="336" spans="1:19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9"/>
      <c r="Q336" s="2"/>
      <c r="R336" s="33"/>
      <c r="S336" s="2"/>
    </row>
    <row r="337" spans="1:19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9"/>
      <c r="Q337" s="2"/>
      <c r="R337" s="33"/>
      <c r="S337" s="2"/>
    </row>
    <row r="338" spans="1:19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9"/>
      <c r="Q338" s="2"/>
      <c r="R338" s="33"/>
      <c r="S338" s="2"/>
    </row>
    <row r="339" spans="1:19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9"/>
      <c r="Q339" s="2"/>
      <c r="R339" s="33"/>
      <c r="S339" s="2"/>
    </row>
    <row r="340" spans="1:19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9"/>
      <c r="Q340" s="2"/>
      <c r="R340" s="33"/>
      <c r="S340" s="2"/>
    </row>
    <row r="341" spans="1:19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9"/>
      <c r="Q341" s="2"/>
      <c r="R341" s="33"/>
      <c r="S341" s="2"/>
    </row>
    <row r="342" spans="1:19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9"/>
      <c r="Q342" s="2"/>
      <c r="R342" s="33"/>
      <c r="S342" s="2"/>
    </row>
    <row r="343" spans="1:19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9"/>
      <c r="Q343" s="2"/>
      <c r="R343" s="33"/>
      <c r="S343" s="2"/>
    </row>
    <row r="344" spans="1:19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9"/>
      <c r="Q344" s="2"/>
      <c r="R344" s="33"/>
      <c r="S344" s="2"/>
    </row>
    <row r="345" spans="1:19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9"/>
      <c r="Q345" s="2"/>
      <c r="R345" s="33"/>
      <c r="S345" s="2"/>
    </row>
    <row r="346" spans="1:19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9"/>
      <c r="Q346" s="2"/>
      <c r="R346" s="33"/>
      <c r="S346" s="2"/>
    </row>
    <row r="347" spans="1:19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9"/>
      <c r="Q347" s="2"/>
      <c r="R347" s="33"/>
      <c r="S347" s="2"/>
    </row>
    <row r="348" spans="1:19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9"/>
      <c r="Q348" s="2"/>
      <c r="R348" s="33"/>
      <c r="S348" s="2"/>
    </row>
    <row r="349" spans="1:19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9"/>
      <c r="Q349" s="2"/>
      <c r="R349" s="33"/>
      <c r="S349" s="2"/>
    </row>
    <row r="350" spans="1:19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9"/>
      <c r="Q350" s="2"/>
      <c r="R350" s="33"/>
      <c r="S350" s="2"/>
    </row>
    <row r="351" spans="1:19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9"/>
      <c r="Q351" s="2"/>
      <c r="R351" s="33"/>
      <c r="S351" s="2"/>
    </row>
    <row r="352" spans="1:19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9"/>
      <c r="Q352" s="2"/>
      <c r="R352" s="33"/>
      <c r="S352" s="2"/>
    </row>
    <row r="353" spans="1:19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9"/>
      <c r="Q353" s="2"/>
      <c r="R353" s="33"/>
      <c r="S353" s="2"/>
    </row>
    <row r="354" spans="1:19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9"/>
      <c r="Q354" s="2"/>
      <c r="R354" s="33"/>
      <c r="S354" s="2"/>
    </row>
    <row r="355" spans="1:19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9"/>
      <c r="Q355" s="2"/>
      <c r="R355" s="33"/>
      <c r="S355" s="2"/>
    </row>
    <row r="356" spans="1:19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9"/>
      <c r="Q356" s="2"/>
      <c r="R356" s="33"/>
      <c r="S356" s="2"/>
    </row>
    <row r="357" spans="1:19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9"/>
      <c r="Q357" s="2"/>
      <c r="R357" s="33"/>
      <c r="S357" s="2"/>
    </row>
    <row r="358" spans="1:19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9"/>
      <c r="Q358" s="2"/>
      <c r="R358" s="33"/>
      <c r="S358" s="2"/>
    </row>
    <row r="359" spans="1:19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9"/>
      <c r="Q359" s="2"/>
      <c r="R359" s="33"/>
      <c r="S359" s="2"/>
    </row>
    <row r="360" spans="1:19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9"/>
      <c r="Q360" s="2"/>
      <c r="R360" s="33"/>
      <c r="S360" s="2"/>
    </row>
    <row r="361" spans="1:19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9"/>
      <c r="Q361" s="2"/>
      <c r="R361" s="33"/>
      <c r="S361" s="2"/>
    </row>
    <row r="362" spans="1:19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9"/>
      <c r="Q362" s="2"/>
      <c r="R362" s="33"/>
      <c r="S362" s="2"/>
    </row>
    <row r="363" spans="1:19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9"/>
      <c r="Q363" s="2"/>
      <c r="R363" s="33"/>
      <c r="S363" s="2"/>
    </row>
    <row r="364" spans="1:19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9"/>
      <c r="Q364" s="2"/>
      <c r="R364" s="33"/>
      <c r="S364" s="2"/>
    </row>
    <row r="365" spans="1:19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9"/>
      <c r="Q365" s="2"/>
      <c r="R365" s="33"/>
      <c r="S365" s="2"/>
    </row>
    <row r="366" spans="1:19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9"/>
      <c r="Q366" s="2"/>
      <c r="R366" s="33"/>
      <c r="S366" s="2"/>
    </row>
    <row r="367" spans="1:19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9"/>
      <c r="Q367" s="2"/>
      <c r="R367" s="33"/>
      <c r="S367" s="2"/>
    </row>
    <row r="368" spans="1:19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9"/>
      <c r="Q368" s="2"/>
      <c r="R368" s="33"/>
      <c r="S368" s="2"/>
    </row>
    <row r="369" spans="1:19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9"/>
      <c r="Q369" s="2"/>
      <c r="R369" s="33"/>
      <c r="S369" s="2"/>
    </row>
    <row r="370" spans="1:19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9"/>
      <c r="Q370" s="2"/>
      <c r="R370" s="33"/>
      <c r="S370" s="2"/>
    </row>
    <row r="371" spans="1:19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9"/>
      <c r="Q371" s="2"/>
      <c r="R371" s="33"/>
      <c r="S371" s="2"/>
    </row>
    <row r="372" spans="1:19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9"/>
      <c r="Q372" s="2"/>
      <c r="R372" s="33"/>
      <c r="S372" s="2"/>
    </row>
    <row r="373" spans="1:19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9"/>
      <c r="Q373" s="2"/>
      <c r="R373" s="33"/>
      <c r="S373" s="2"/>
    </row>
    <row r="374" spans="1:19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9"/>
      <c r="Q374" s="2"/>
      <c r="R374" s="33"/>
      <c r="S374" s="2"/>
    </row>
    <row r="375" spans="1:19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9"/>
      <c r="Q375" s="2"/>
      <c r="R375" s="33"/>
      <c r="S375" s="2"/>
    </row>
    <row r="376" spans="1:19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9"/>
      <c r="Q376" s="2"/>
      <c r="R376" s="33"/>
      <c r="S376" s="2"/>
    </row>
    <row r="377" spans="1:19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9"/>
      <c r="Q377" s="2"/>
      <c r="R377" s="33"/>
      <c r="S377" s="2"/>
    </row>
    <row r="378" spans="1:19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9"/>
      <c r="Q378" s="2"/>
      <c r="R378" s="33"/>
      <c r="S378" s="2"/>
    </row>
    <row r="379" spans="1:19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9"/>
      <c r="Q379" s="2"/>
      <c r="R379" s="33"/>
      <c r="S379" s="2"/>
    </row>
    <row r="380" spans="1:19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9"/>
      <c r="Q380" s="2"/>
      <c r="R380" s="33"/>
      <c r="S380" s="2"/>
    </row>
    <row r="381" spans="1:19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9"/>
      <c r="Q381" s="2"/>
      <c r="R381" s="33"/>
      <c r="S381" s="2"/>
    </row>
    <row r="382" spans="1:19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9"/>
      <c r="Q382" s="2"/>
      <c r="R382" s="33"/>
      <c r="S382" s="2"/>
    </row>
    <row r="383" spans="1:19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9"/>
      <c r="Q383" s="2"/>
      <c r="R383" s="33"/>
      <c r="S383" s="2"/>
    </row>
    <row r="384" spans="1:19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9"/>
      <c r="Q384" s="2"/>
      <c r="R384" s="33"/>
      <c r="S384" s="2"/>
    </row>
    <row r="385" spans="1:19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9"/>
      <c r="Q385" s="2"/>
      <c r="R385" s="33"/>
      <c r="S385" s="2"/>
    </row>
    <row r="386" spans="1:19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9"/>
      <c r="Q386" s="2"/>
      <c r="R386" s="33"/>
      <c r="S386" s="2"/>
    </row>
    <row r="387" spans="1:19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9"/>
      <c r="Q387" s="2"/>
      <c r="R387" s="33"/>
      <c r="S387" s="2"/>
    </row>
    <row r="388" spans="1:19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9"/>
      <c r="Q388" s="2"/>
      <c r="R388" s="33"/>
      <c r="S388" s="2"/>
    </row>
    <row r="389" spans="1:19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9"/>
      <c r="Q389" s="2"/>
      <c r="R389" s="33"/>
      <c r="S389" s="2"/>
    </row>
    <row r="390" spans="1:19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9"/>
      <c r="Q390" s="2"/>
      <c r="R390" s="33"/>
      <c r="S390" s="2"/>
    </row>
    <row r="391" spans="1:19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9"/>
      <c r="Q391" s="2"/>
      <c r="R391" s="33"/>
      <c r="S391" s="2"/>
    </row>
    <row r="392" spans="1:19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9"/>
      <c r="Q392" s="2"/>
      <c r="R392" s="33"/>
      <c r="S392" s="2"/>
    </row>
    <row r="393" spans="1:19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9"/>
      <c r="Q393" s="2"/>
      <c r="R393" s="33"/>
      <c r="S393" s="2"/>
    </row>
    <row r="394" spans="1:19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9"/>
      <c r="Q394" s="2"/>
      <c r="R394" s="33"/>
      <c r="S394" s="2"/>
    </row>
    <row r="395" spans="1:19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9"/>
      <c r="Q395" s="2"/>
      <c r="R395" s="33"/>
      <c r="S395" s="2"/>
    </row>
    <row r="396" spans="1:19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9"/>
      <c r="Q396" s="2"/>
      <c r="R396" s="33"/>
      <c r="S396" s="2"/>
    </row>
    <row r="397" spans="1:19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9"/>
      <c r="Q397" s="2"/>
      <c r="R397" s="33"/>
      <c r="S397" s="2"/>
    </row>
    <row r="398" spans="1:19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9"/>
      <c r="Q398" s="2"/>
      <c r="R398" s="33"/>
      <c r="S398" s="2"/>
    </row>
    <row r="399" spans="1:19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9"/>
      <c r="Q399" s="2"/>
      <c r="R399" s="33"/>
      <c r="S399" s="2"/>
    </row>
    <row r="400" spans="1:19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9"/>
      <c r="Q400" s="2"/>
      <c r="R400" s="33"/>
      <c r="S400" s="2"/>
    </row>
    <row r="401" spans="1:19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9"/>
      <c r="Q401" s="2"/>
      <c r="R401" s="33"/>
      <c r="S401" s="2"/>
    </row>
    <row r="402" spans="1:19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9"/>
      <c r="Q402" s="2"/>
      <c r="R402" s="33"/>
      <c r="S402" s="2"/>
    </row>
    <row r="403" spans="1:19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9"/>
      <c r="Q403" s="2"/>
      <c r="R403" s="33"/>
      <c r="S403" s="2"/>
    </row>
    <row r="404" spans="1:19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9"/>
      <c r="Q404" s="2"/>
      <c r="R404" s="33"/>
      <c r="S404" s="2"/>
    </row>
    <row r="405" spans="1:19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9"/>
      <c r="Q405" s="2"/>
      <c r="R405" s="33"/>
      <c r="S405" s="2"/>
    </row>
    <row r="406" spans="1:19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9"/>
      <c r="Q406" s="2"/>
      <c r="R406" s="33"/>
      <c r="S406" s="2"/>
    </row>
    <row r="407" spans="1:19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9"/>
      <c r="Q407" s="2"/>
      <c r="R407" s="33"/>
      <c r="S407" s="2"/>
    </row>
    <row r="408" spans="1:19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9"/>
      <c r="Q408" s="2"/>
      <c r="R408" s="33"/>
      <c r="S408" s="2"/>
    </row>
    <row r="409" spans="1:19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9"/>
      <c r="Q409" s="2"/>
      <c r="R409" s="33"/>
      <c r="S409" s="2"/>
    </row>
    <row r="410" spans="1:19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9"/>
      <c r="Q410" s="2"/>
      <c r="R410" s="33"/>
      <c r="S410" s="2"/>
    </row>
    <row r="411" spans="1:19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9"/>
      <c r="Q411" s="2"/>
      <c r="R411" s="33"/>
      <c r="S411" s="2"/>
    </row>
    <row r="412" spans="1:19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9"/>
      <c r="Q412" s="2"/>
      <c r="R412" s="33"/>
      <c r="S412" s="2"/>
    </row>
    <row r="413" spans="1:19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9"/>
      <c r="Q413" s="2"/>
      <c r="R413" s="33"/>
      <c r="S413" s="2"/>
    </row>
    <row r="414" spans="1:19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9"/>
      <c r="Q414" s="2"/>
      <c r="R414" s="33"/>
      <c r="S414" s="2"/>
    </row>
    <row r="415" spans="1:19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9"/>
      <c r="Q415" s="2"/>
      <c r="R415" s="33"/>
      <c r="S415" s="2"/>
    </row>
    <row r="416" spans="1:19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9"/>
      <c r="Q416" s="2"/>
      <c r="R416" s="33"/>
      <c r="S416" s="2"/>
    </row>
    <row r="417" spans="1:19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9"/>
      <c r="Q417" s="2"/>
      <c r="R417" s="33"/>
      <c r="S417" s="2"/>
    </row>
    <row r="418" spans="1:19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9"/>
      <c r="Q418" s="2"/>
      <c r="R418" s="33"/>
      <c r="S418" s="2"/>
    </row>
    <row r="419" spans="1:19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9"/>
      <c r="Q419" s="2"/>
      <c r="R419" s="33"/>
      <c r="S419" s="2"/>
    </row>
    <row r="420" spans="1:19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9"/>
      <c r="Q420" s="2"/>
      <c r="R420" s="33"/>
      <c r="S420" s="2"/>
    </row>
    <row r="421" spans="1:19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9"/>
      <c r="Q421" s="2"/>
      <c r="R421" s="33"/>
      <c r="S421" s="2"/>
    </row>
    <row r="422" spans="1:19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9"/>
      <c r="Q422" s="2"/>
      <c r="R422" s="33"/>
      <c r="S422" s="2"/>
    </row>
    <row r="423" spans="1:19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9"/>
      <c r="Q423" s="2"/>
      <c r="R423" s="33"/>
      <c r="S423" s="2"/>
    </row>
    <row r="424" spans="1:19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9"/>
      <c r="Q424" s="2"/>
      <c r="R424" s="33"/>
      <c r="S424" s="2"/>
    </row>
    <row r="425" spans="1:19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9"/>
      <c r="Q425" s="2"/>
      <c r="R425" s="33"/>
      <c r="S425" s="2"/>
    </row>
    <row r="426" spans="1:19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9"/>
      <c r="Q426" s="2"/>
      <c r="R426" s="33"/>
      <c r="S426" s="2"/>
    </row>
    <row r="427" spans="1:19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9"/>
      <c r="Q427" s="2"/>
      <c r="R427" s="33"/>
      <c r="S427" s="2"/>
    </row>
    <row r="428" spans="1:19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9"/>
      <c r="Q428" s="2"/>
      <c r="R428" s="33"/>
      <c r="S428" s="2"/>
    </row>
    <row r="429" spans="1:19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9"/>
      <c r="Q429" s="2"/>
      <c r="R429" s="33"/>
      <c r="S429" s="2"/>
    </row>
    <row r="430" spans="1:19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9"/>
      <c r="Q430" s="2"/>
      <c r="R430" s="33"/>
      <c r="S430" s="2"/>
    </row>
    <row r="431" spans="1:19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9"/>
      <c r="Q431" s="2"/>
      <c r="R431" s="33"/>
      <c r="S431" s="2"/>
    </row>
    <row r="432" spans="1:19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9"/>
      <c r="Q432" s="2"/>
      <c r="R432" s="33"/>
      <c r="S432" s="2"/>
    </row>
    <row r="433" spans="1:19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9"/>
      <c r="Q433" s="2"/>
      <c r="R433" s="33"/>
      <c r="S433" s="2"/>
    </row>
    <row r="434" spans="1:19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9"/>
      <c r="Q434" s="2"/>
      <c r="R434" s="33"/>
      <c r="S434" s="2"/>
    </row>
    <row r="435" spans="1:19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9"/>
      <c r="Q435" s="2"/>
      <c r="R435" s="33"/>
      <c r="S435" s="2"/>
    </row>
    <row r="436" spans="1:19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9"/>
      <c r="Q436" s="2"/>
      <c r="R436" s="33"/>
      <c r="S436" s="2"/>
    </row>
    <row r="437" spans="1:19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9"/>
      <c r="Q437" s="2"/>
      <c r="R437" s="33"/>
      <c r="S437" s="2"/>
    </row>
    <row r="438" spans="1:19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9"/>
      <c r="Q438" s="2"/>
      <c r="R438" s="33"/>
      <c r="S438" s="2"/>
    </row>
    <row r="439" spans="1:19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9"/>
      <c r="Q439" s="2"/>
      <c r="R439" s="33"/>
      <c r="S439" s="2"/>
    </row>
    <row r="440" spans="1:19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9"/>
      <c r="Q440" s="2"/>
      <c r="R440" s="33"/>
      <c r="S440" s="2"/>
    </row>
    <row r="441" spans="1:19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9"/>
      <c r="Q441" s="2"/>
      <c r="R441" s="33"/>
      <c r="S441" s="2"/>
    </row>
    <row r="442" spans="1:19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9"/>
      <c r="Q442" s="2"/>
      <c r="R442" s="33"/>
      <c r="S442" s="2"/>
    </row>
    <row r="443" spans="1:19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9"/>
      <c r="Q443" s="2"/>
      <c r="R443" s="33"/>
      <c r="S443" s="2"/>
    </row>
    <row r="444" spans="1:19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9"/>
      <c r="Q444" s="2"/>
      <c r="R444" s="33"/>
      <c r="S444" s="2"/>
    </row>
    <row r="445" spans="1:19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9"/>
      <c r="Q445" s="2"/>
      <c r="R445" s="33"/>
      <c r="S445" s="2"/>
    </row>
    <row r="446" spans="1:19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9"/>
      <c r="Q446" s="2"/>
      <c r="R446" s="33"/>
      <c r="S446" s="2"/>
    </row>
    <row r="447" spans="1:19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9"/>
      <c r="Q447" s="2"/>
      <c r="R447" s="33"/>
      <c r="S447" s="2"/>
    </row>
    <row r="448" spans="1:19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9"/>
      <c r="Q448" s="2"/>
      <c r="R448" s="33"/>
      <c r="S448" s="2"/>
    </row>
    <row r="449" spans="1:19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9"/>
      <c r="Q449" s="2"/>
      <c r="R449" s="33"/>
      <c r="S449" s="2"/>
    </row>
    <row r="450" spans="1:19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9"/>
      <c r="Q450" s="2"/>
      <c r="R450" s="33"/>
      <c r="S450" s="2"/>
    </row>
    <row r="451" spans="1:19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9"/>
      <c r="Q451" s="2"/>
      <c r="R451" s="33"/>
      <c r="S451" s="2"/>
    </row>
    <row r="452" spans="1:19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9"/>
      <c r="Q452" s="2"/>
      <c r="R452" s="33"/>
      <c r="S452" s="2"/>
    </row>
    <row r="453" spans="1:19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9"/>
      <c r="Q453" s="2"/>
      <c r="R453" s="33"/>
      <c r="S453" s="2"/>
    </row>
    <row r="454" spans="1:19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9"/>
      <c r="Q454" s="2"/>
      <c r="R454" s="33"/>
      <c r="S454" s="2"/>
    </row>
    <row r="455" spans="1:19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9"/>
      <c r="Q455" s="2"/>
      <c r="R455" s="33"/>
      <c r="S455" s="2"/>
    </row>
    <row r="456" spans="1:19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9"/>
      <c r="Q456" s="2"/>
      <c r="R456" s="33"/>
      <c r="S456" s="2"/>
    </row>
    <row r="457" spans="1:19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9"/>
      <c r="Q457" s="2"/>
      <c r="R457" s="33"/>
      <c r="S457" s="2"/>
    </row>
    <row r="458" spans="1:19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9"/>
      <c r="Q458" s="2"/>
      <c r="R458" s="33"/>
      <c r="S458" s="2"/>
    </row>
    <row r="459" spans="1:19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9"/>
      <c r="Q459" s="2"/>
      <c r="R459" s="33"/>
      <c r="S459" s="2"/>
    </row>
    <row r="460" spans="1:19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9"/>
      <c r="Q460" s="2"/>
      <c r="R460" s="33"/>
      <c r="S460" s="2"/>
    </row>
    <row r="461" spans="1:19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9"/>
      <c r="Q461" s="2"/>
      <c r="R461" s="33"/>
      <c r="S461" s="2"/>
    </row>
    <row r="462" spans="1:19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9"/>
      <c r="Q462" s="2"/>
      <c r="R462" s="33"/>
      <c r="S462" s="2"/>
    </row>
    <row r="463" spans="1:19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9"/>
      <c r="Q463" s="2"/>
      <c r="R463" s="33"/>
      <c r="S463" s="2"/>
    </row>
    <row r="464" spans="1:19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9"/>
      <c r="Q464" s="2"/>
      <c r="R464" s="33"/>
      <c r="S464" s="2"/>
    </row>
    <row r="465" spans="1:19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9"/>
      <c r="Q465" s="2"/>
      <c r="R465" s="33"/>
      <c r="S465" s="2"/>
    </row>
    <row r="466" spans="1:19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9"/>
      <c r="Q466" s="2"/>
      <c r="R466" s="33"/>
      <c r="S466" s="2"/>
    </row>
    <row r="467" spans="1:19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9"/>
      <c r="Q467" s="2"/>
      <c r="R467" s="33"/>
      <c r="S467" s="2"/>
    </row>
    <row r="468" spans="1:19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9"/>
      <c r="Q468" s="2"/>
      <c r="R468" s="33"/>
      <c r="S468" s="2"/>
    </row>
    <row r="469" spans="1:19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9"/>
      <c r="Q469" s="2"/>
      <c r="R469" s="33"/>
      <c r="S469" s="2"/>
    </row>
    <row r="470" spans="1:19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9"/>
      <c r="Q470" s="2"/>
      <c r="R470" s="33"/>
      <c r="S470" s="2"/>
    </row>
    <row r="471" spans="1:19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9"/>
      <c r="Q471" s="2"/>
      <c r="R471" s="33"/>
      <c r="S471" s="2"/>
    </row>
    <row r="472" spans="1:19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9"/>
      <c r="Q472" s="2"/>
      <c r="R472" s="33"/>
      <c r="S472" s="2"/>
    </row>
    <row r="473" spans="1:19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9"/>
      <c r="Q473" s="2"/>
      <c r="R473" s="33"/>
      <c r="S473" s="2"/>
    </row>
    <row r="474" spans="1:19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9"/>
      <c r="Q474" s="2"/>
      <c r="R474" s="33"/>
      <c r="S474" s="2"/>
    </row>
    <row r="475" spans="1:19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9"/>
      <c r="Q475" s="2"/>
      <c r="R475" s="33"/>
      <c r="S475" s="2"/>
    </row>
    <row r="476" spans="1:19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9"/>
      <c r="Q476" s="2"/>
      <c r="R476" s="33"/>
      <c r="S476" s="2"/>
    </row>
    <row r="477" spans="1:19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9"/>
      <c r="Q477" s="2"/>
      <c r="R477" s="33"/>
      <c r="S477" s="2"/>
    </row>
    <row r="478" spans="1:19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9"/>
      <c r="Q478" s="2"/>
      <c r="R478" s="33"/>
      <c r="S478" s="2"/>
    </row>
    <row r="479" spans="1:19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9"/>
      <c r="Q479" s="2"/>
      <c r="R479" s="33"/>
      <c r="S479" s="2"/>
    </row>
    <row r="480" spans="1:19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9"/>
      <c r="Q480" s="2"/>
      <c r="R480" s="33"/>
      <c r="S480" s="2"/>
    </row>
    <row r="481" spans="1:19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9"/>
      <c r="Q481" s="2"/>
      <c r="R481" s="33"/>
      <c r="S481" s="2"/>
    </row>
    <row r="482" spans="1:19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9"/>
      <c r="Q482" s="2"/>
      <c r="R482" s="33"/>
      <c r="S482" s="2"/>
    </row>
    <row r="483" spans="1:19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9"/>
      <c r="Q483" s="2"/>
      <c r="R483" s="33"/>
      <c r="S483" s="2"/>
    </row>
    <row r="484" spans="1:19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9"/>
      <c r="Q484" s="2"/>
      <c r="R484" s="33"/>
      <c r="S484" s="2"/>
    </row>
    <row r="485" spans="1:19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9"/>
      <c r="Q485" s="2"/>
      <c r="R485" s="33"/>
      <c r="S485" s="2"/>
    </row>
    <row r="486" spans="1:19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9"/>
      <c r="Q486" s="2"/>
      <c r="R486" s="33"/>
      <c r="S486" s="2"/>
    </row>
    <row r="487" spans="1:19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9"/>
      <c r="Q487" s="2"/>
      <c r="R487" s="33"/>
      <c r="S487" s="2"/>
    </row>
    <row r="488" spans="1:19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9"/>
      <c r="Q488" s="2"/>
      <c r="R488" s="33"/>
      <c r="S488" s="2"/>
    </row>
    <row r="489" spans="1:19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9"/>
      <c r="Q489" s="2"/>
      <c r="R489" s="33"/>
      <c r="S489" s="2"/>
    </row>
    <row r="490" spans="1:19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9"/>
      <c r="Q490" s="2"/>
      <c r="R490" s="33"/>
      <c r="S490" s="2"/>
    </row>
    <row r="491" spans="1:19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9"/>
      <c r="Q491" s="2"/>
      <c r="R491" s="33"/>
      <c r="S491" s="2"/>
    </row>
    <row r="492" spans="1:19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9"/>
      <c r="Q492" s="2"/>
      <c r="R492" s="33"/>
      <c r="S492" s="2"/>
    </row>
    <row r="493" spans="1:19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9"/>
      <c r="Q493" s="2"/>
      <c r="R493" s="33"/>
      <c r="S493" s="2"/>
    </row>
    <row r="494" spans="1:19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9"/>
      <c r="Q494" s="2"/>
      <c r="R494" s="33"/>
      <c r="S494" s="2"/>
    </row>
    <row r="495" spans="1:19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9"/>
      <c r="Q495" s="2"/>
      <c r="R495" s="33"/>
      <c r="S495" s="2"/>
    </row>
    <row r="496" spans="1:19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9"/>
      <c r="Q496" s="2"/>
      <c r="R496" s="33"/>
      <c r="S496" s="2"/>
    </row>
    <row r="497" spans="1:19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9"/>
      <c r="Q497" s="2"/>
      <c r="R497" s="33"/>
      <c r="S497" s="2"/>
    </row>
    <row r="498" spans="1:19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9"/>
      <c r="Q498" s="2"/>
      <c r="R498" s="33"/>
      <c r="S498" s="2"/>
    </row>
    <row r="499" spans="1:19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9"/>
      <c r="Q499" s="2"/>
      <c r="R499" s="33"/>
      <c r="S499" s="2"/>
    </row>
    <row r="500" spans="1:19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9"/>
      <c r="Q500" s="2"/>
      <c r="R500" s="33"/>
      <c r="S500" s="2"/>
    </row>
    <row r="501" spans="1:19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9"/>
      <c r="Q501" s="2"/>
      <c r="R501" s="33"/>
      <c r="S501" s="2"/>
    </row>
    <row r="502" spans="1:19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9"/>
      <c r="Q502" s="2"/>
      <c r="R502" s="33"/>
      <c r="S502" s="2"/>
    </row>
    <row r="503" spans="1:19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9"/>
      <c r="Q503" s="2"/>
      <c r="R503" s="33"/>
      <c r="S503" s="2"/>
    </row>
    <row r="504" spans="1:19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9"/>
      <c r="Q504" s="2"/>
      <c r="R504" s="33"/>
      <c r="S504" s="2"/>
    </row>
    <row r="505" spans="1:19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9"/>
      <c r="Q505" s="2"/>
      <c r="R505" s="33"/>
      <c r="S505" s="2"/>
    </row>
    <row r="506" spans="1:19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9"/>
      <c r="Q506" s="2"/>
      <c r="R506" s="33"/>
      <c r="S506" s="2"/>
    </row>
    <row r="507" spans="1:19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9"/>
      <c r="Q507" s="2"/>
      <c r="R507" s="33"/>
      <c r="S507" s="2"/>
    </row>
    <row r="508" spans="1:19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9"/>
      <c r="Q508" s="2"/>
      <c r="R508" s="33"/>
      <c r="S508" s="2"/>
    </row>
    <row r="509" spans="1:19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9"/>
      <c r="Q509" s="2"/>
      <c r="R509" s="33"/>
      <c r="S509" s="2"/>
    </row>
    <row r="510" spans="1:19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9"/>
      <c r="Q510" s="2"/>
      <c r="R510" s="33"/>
      <c r="S510" s="2"/>
    </row>
    <row r="511" spans="1:19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9"/>
      <c r="Q511" s="2"/>
      <c r="R511" s="33"/>
      <c r="S511" s="2"/>
    </row>
    <row r="512" spans="1:19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9"/>
      <c r="Q512" s="2"/>
      <c r="R512" s="33"/>
      <c r="S512" s="2"/>
    </row>
    <row r="513" spans="1:19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9"/>
      <c r="Q513" s="2"/>
      <c r="R513" s="33"/>
      <c r="S513" s="2"/>
    </row>
    <row r="514" spans="1:19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9"/>
      <c r="Q514" s="2"/>
      <c r="R514" s="33"/>
      <c r="S514" s="2"/>
    </row>
    <row r="515" spans="1:19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9"/>
      <c r="Q515" s="2"/>
      <c r="R515" s="33"/>
      <c r="S515" s="2"/>
    </row>
    <row r="516" spans="1:19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9"/>
      <c r="Q516" s="2"/>
      <c r="R516" s="33"/>
      <c r="S516" s="2"/>
    </row>
    <row r="517" spans="1:19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9"/>
      <c r="Q517" s="2"/>
      <c r="R517" s="33"/>
      <c r="S517" s="2"/>
    </row>
    <row r="518" spans="1:19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9"/>
      <c r="Q518" s="2"/>
      <c r="R518" s="33"/>
      <c r="S518" s="2"/>
    </row>
    <row r="519" spans="1:19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9"/>
      <c r="Q519" s="2"/>
      <c r="R519" s="33"/>
      <c r="S519" s="2"/>
    </row>
    <row r="520" spans="1:19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9"/>
      <c r="Q520" s="2"/>
      <c r="R520" s="33"/>
      <c r="S520" s="2"/>
    </row>
    <row r="521" spans="1:19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9"/>
      <c r="Q521" s="2"/>
      <c r="R521" s="33"/>
      <c r="S521" s="2"/>
    </row>
    <row r="522" spans="1:19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9"/>
      <c r="Q522" s="2"/>
      <c r="R522" s="33"/>
      <c r="S522" s="2"/>
    </row>
    <row r="523" spans="1:19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9"/>
      <c r="Q523" s="2"/>
      <c r="R523" s="33"/>
      <c r="S523" s="2"/>
    </row>
    <row r="524" spans="1:19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9"/>
      <c r="Q524" s="2"/>
      <c r="R524" s="33"/>
      <c r="S524" s="2"/>
    </row>
    <row r="525" spans="1:19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9"/>
      <c r="Q525" s="2"/>
      <c r="R525" s="33"/>
      <c r="S525" s="2"/>
    </row>
    <row r="526" spans="1:19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9"/>
      <c r="Q526" s="2"/>
      <c r="R526" s="33"/>
      <c r="S526" s="2"/>
    </row>
    <row r="527" spans="1:19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9"/>
      <c r="Q527" s="2"/>
      <c r="R527" s="33"/>
      <c r="S527" s="2"/>
    </row>
    <row r="528" spans="1:19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9"/>
      <c r="Q528" s="2"/>
      <c r="R528" s="33"/>
      <c r="S528" s="2"/>
    </row>
  </sheetData>
  <conditionalFormatting sqref="Q2:Q528">
    <cfRule type="expression" dxfId="22" priority="4">
      <formula>LEFT(Q2,1)="-"</formula>
    </cfRule>
  </conditionalFormatting>
  <conditionalFormatting sqref="Q2:S528">
    <cfRule type="expression" dxfId="21" priority="1">
      <formula>$S2="Mejora"</formula>
    </cfRule>
  </conditionalFormatting>
  <conditionalFormatting sqref="R2:R528">
    <cfRule type="expression" dxfId="20" priority="3">
      <formula>R2&lt;0</formula>
    </cfRule>
  </conditionalFormatting>
  <conditionalFormatting sqref="S2:S528">
    <cfRule type="expression" dxfId="19" priority="2">
      <formula>S2="Empeora"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41C2D2-5319-4330-8CFF-9BF2FE07FC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emergency_results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2026-05-21T11:05:13Z</dcterms:modified>
</cp:coreProperties>
</file>