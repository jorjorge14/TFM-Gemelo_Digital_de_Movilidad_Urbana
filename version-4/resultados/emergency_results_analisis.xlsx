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DB6BA50B-EB1D-4D65-AAEF-C3B2B57DAE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Q2" i="2"/>
  <c r="Q3" i="2"/>
  <c r="Q4" i="2"/>
  <c r="Q5" i="2"/>
  <c r="Q6" i="2"/>
  <c r="Q7" i="2"/>
  <c r="Q8" i="2"/>
  <c r="Q9" i="2"/>
  <c r="Q10" i="2"/>
  <c r="Q11" i="2"/>
  <c r="Q12" i="2"/>
  <c r="Q13" i="2"/>
  <c r="R13" i="2" s="1"/>
  <c r="Q14" i="2"/>
  <c r="Q15" i="2"/>
  <c r="Q16" i="2"/>
  <c r="Q17" i="2"/>
  <c r="Q18" i="2"/>
  <c r="Q19" i="2"/>
  <c r="Q20" i="2"/>
  <c r="Q21" i="2"/>
  <c r="R21" i="2" s="1"/>
  <c r="Q22" i="2"/>
  <c r="Q23" i="2"/>
  <c r="Q24" i="2"/>
  <c r="Q25" i="2"/>
  <c r="Q26" i="2"/>
  <c r="Q27" i="2"/>
  <c r="Q28" i="2"/>
  <c r="Q29" i="2"/>
  <c r="R29" i="2" s="1"/>
  <c r="Q30" i="2"/>
  <c r="Q31" i="2"/>
  <c r="R31" i="2" s="1"/>
  <c r="Q32" i="2"/>
  <c r="Q33" i="2"/>
  <c r="Q34" i="2"/>
  <c r="Q35" i="2"/>
  <c r="Q36" i="2"/>
  <c r="Q37" i="2"/>
  <c r="R37" i="2" s="1"/>
  <c r="Q38" i="2"/>
  <c r="Q39" i="2"/>
  <c r="R39" i="2" s="1"/>
  <c r="Q40" i="2"/>
  <c r="Q41" i="2"/>
  <c r="Q42" i="2"/>
  <c r="Q43" i="2"/>
  <c r="Q44" i="2"/>
  <c r="Q45" i="2"/>
  <c r="R45" i="2" s="1"/>
  <c r="Q46" i="2"/>
  <c r="Q47" i="2"/>
  <c r="Q48" i="2"/>
  <c r="R48" i="2" s="1"/>
  <c r="Q49" i="2"/>
  <c r="Q50" i="2"/>
  <c r="Q51" i="2"/>
  <c r="Q52" i="2"/>
  <c r="Q53" i="2"/>
  <c r="R53" i="2" s="1"/>
  <c r="Q54" i="2"/>
  <c r="S54" i="2" s="1"/>
  <c r="Q55" i="2"/>
  <c r="S55" i="2" s="1"/>
  <c r="T55" i="2" s="1"/>
  <c r="Q56" i="2"/>
  <c r="Q57" i="2"/>
  <c r="Q58" i="2"/>
  <c r="Q59" i="2"/>
  <c r="Q60" i="2"/>
  <c r="Q61" i="2"/>
  <c r="R61" i="2" s="1"/>
  <c r="Q62" i="2"/>
  <c r="S62" i="2" s="1"/>
  <c r="Q63" i="2"/>
  <c r="R63" i="2" s="1"/>
  <c r="Q64" i="2"/>
  <c r="S64" i="2" s="1"/>
  <c r="Q65" i="2"/>
  <c r="Q66" i="2"/>
  <c r="Q67" i="2"/>
  <c r="Q68" i="2"/>
  <c r="R68" i="2" s="1"/>
  <c r="Q69" i="2"/>
  <c r="R69" i="2" s="1"/>
  <c r="Q70" i="2"/>
  <c r="S70" i="2" s="1"/>
  <c r="Q71" i="2"/>
  <c r="R71" i="2" s="1"/>
  <c r="Q72" i="2"/>
  <c r="S72" i="2" s="1"/>
  <c r="Q73" i="2"/>
  <c r="Q74" i="2"/>
  <c r="Q75" i="2"/>
  <c r="Q76" i="2"/>
  <c r="Q77" i="2"/>
  <c r="R77" i="2" s="1"/>
  <c r="Q78" i="2"/>
  <c r="S78" i="2" s="1"/>
  <c r="Q79" i="2"/>
  <c r="R79" i="2" s="1"/>
  <c r="Q80" i="2"/>
  <c r="R80" i="2" s="1"/>
  <c r="Q81" i="2"/>
  <c r="Q82" i="2"/>
  <c r="Q83" i="2"/>
  <c r="Q84" i="2"/>
  <c r="R84" i="2" s="1"/>
  <c r="Q85" i="2"/>
  <c r="R85" i="2" s="1"/>
  <c r="Q86" i="2"/>
  <c r="S86" i="2" s="1"/>
  <c r="Q87" i="2"/>
  <c r="S87" i="2" s="1"/>
  <c r="T87" i="2" s="1"/>
  <c r="Q88" i="2"/>
  <c r="Q89" i="2"/>
  <c r="Q90" i="2"/>
  <c r="Q91" i="2"/>
  <c r="Q92" i="2"/>
  <c r="S92" i="2" s="1"/>
  <c r="Q93" i="2"/>
  <c r="R93" i="2" s="1"/>
  <c r="Q94" i="2"/>
  <c r="S94" i="2" s="1"/>
  <c r="Q95" i="2"/>
  <c r="R95" i="2" s="1"/>
  <c r="Q96" i="2"/>
  <c r="S96" i="2" s="1"/>
  <c r="Q97" i="2"/>
  <c r="Q98" i="2"/>
  <c r="Q99" i="2"/>
  <c r="Q100" i="2"/>
  <c r="R100" i="2" s="1"/>
  <c r="Q101" i="2"/>
  <c r="R101" i="2" s="1"/>
  <c r="Q102" i="2"/>
  <c r="S102" i="2" s="1"/>
  <c r="Q103" i="2"/>
  <c r="S103" i="2" s="1"/>
  <c r="T103" i="2" s="1"/>
  <c r="Q104" i="2"/>
  <c r="S104" i="2" s="1"/>
  <c r="Q105" i="2"/>
  <c r="Q106" i="2"/>
  <c r="Q107" i="2"/>
  <c r="S107" i="2" s="1"/>
  <c r="T107" i="2" s="1"/>
  <c r="Q108" i="2"/>
  <c r="Q109" i="2"/>
  <c r="R109" i="2" s="1"/>
  <c r="Q110" i="2"/>
  <c r="S110" i="2" s="1"/>
  <c r="Q111" i="2"/>
  <c r="R111" i="2" s="1"/>
  <c r="Q112" i="2"/>
  <c r="R112" i="2" s="1"/>
  <c r="Q113" i="2"/>
  <c r="Q114" i="2"/>
  <c r="Q115" i="2"/>
  <c r="Q116" i="2"/>
  <c r="S116" i="2" s="1"/>
  <c r="Q117" i="2"/>
  <c r="R117" i="2" s="1"/>
  <c r="Q118" i="2"/>
  <c r="S118" i="2" s="1"/>
  <c r="Q119" i="2"/>
  <c r="S119" i="2" s="1"/>
  <c r="T119" i="2" s="1"/>
  <c r="Q120" i="2"/>
  <c r="S120" i="2" s="1"/>
  <c r="Q121" i="2"/>
  <c r="Q122" i="2"/>
  <c r="Q123" i="2"/>
  <c r="S123" i="2" s="1"/>
  <c r="T123" i="2" s="1"/>
  <c r="Q124" i="2"/>
  <c r="R124" i="2" s="1"/>
  <c r="Q125" i="2"/>
  <c r="R125" i="2" s="1"/>
  <c r="Q126" i="2"/>
  <c r="S126" i="2" s="1"/>
  <c r="Q127" i="2"/>
  <c r="Q128" i="2"/>
  <c r="S128" i="2" s="1"/>
  <c r="Q129" i="2"/>
  <c r="Q130" i="2"/>
  <c r="Q131" i="2"/>
  <c r="Q132" i="2"/>
  <c r="R132" i="2" s="1"/>
  <c r="Q133" i="2"/>
  <c r="R133" i="2" s="1"/>
  <c r="Q134" i="2"/>
  <c r="S134" i="2" s="1"/>
  <c r="Q135" i="2"/>
  <c r="S135" i="2" s="1"/>
  <c r="T135" i="2" s="1"/>
  <c r="Q136" i="2"/>
  <c r="S136" i="2" s="1"/>
  <c r="Q137" i="2"/>
  <c r="Q138" i="2"/>
  <c r="Q139" i="2"/>
  <c r="Q140" i="2"/>
  <c r="R140" i="2" s="1"/>
  <c r="Q141" i="2"/>
  <c r="R141" i="2" s="1"/>
  <c r="Q142" i="2"/>
  <c r="S142" i="2" s="1"/>
  <c r="Q143" i="2"/>
  <c r="R143" i="2" s="1"/>
  <c r="Q144" i="2"/>
  <c r="S144" i="2" s="1"/>
  <c r="Q145" i="2"/>
  <c r="Q146" i="2"/>
  <c r="Q147" i="2"/>
  <c r="R147" i="2" s="1"/>
  <c r="Q148" i="2"/>
  <c r="R148" i="2" s="1"/>
  <c r="Q149" i="2"/>
  <c r="R149" i="2" s="1"/>
  <c r="Q150" i="2"/>
  <c r="S150" i="2" s="1"/>
  <c r="Q151" i="2"/>
  <c r="R151" i="2" s="1"/>
  <c r="Q152" i="2"/>
  <c r="S152" i="2" s="1"/>
  <c r="Q153" i="2"/>
  <c r="Q154" i="2"/>
  <c r="Q155" i="2"/>
  <c r="S155" i="2" s="1"/>
  <c r="T155" i="2" s="1"/>
  <c r="Q156" i="2"/>
  <c r="R156" i="2" s="1"/>
  <c r="Q157" i="2"/>
  <c r="R157" i="2" s="1"/>
  <c r="Q158" i="2"/>
  <c r="S158" i="2" s="1"/>
  <c r="Q159" i="2"/>
  <c r="S159" i="2" s="1"/>
  <c r="T159" i="2" s="1"/>
  <c r="R2" i="2"/>
  <c r="R3" i="2"/>
  <c r="R4" i="2"/>
  <c r="R5" i="2"/>
  <c r="R6" i="2"/>
  <c r="R7" i="2"/>
  <c r="R8" i="2"/>
  <c r="R9" i="2"/>
  <c r="R10" i="2"/>
  <c r="R11" i="2"/>
  <c r="R12" i="2"/>
  <c r="R14" i="2"/>
  <c r="R15" i="2"/>
  <c r="R16" i="2"/>
  <c r="R17" i="2"/>
  <c r="R18" i="2"/>
  <c r="R19" i="2"/>
  <c r="R20" i="2"/>
  <c r="R22" i="2"/>
  <c r="R23" i="2"/>
  <c r="R24" i="2"/>
  <c r="R25" i="2"/>
  <c r="R26" i="2"/>
  <c r="R27" i="2"/>
  <c r="R28" i="2"/>
  <c r="R30" i="2"/>
  <c r="R32" i="2"/>
  <c r="R33" i="2"/>
  <c r="R34" i="2"/>
  <c r="R35" i="2"/>
  <c r="R36" i="2"/>
  <c r="R38" i="2"/>
  <c r="R40" i="2"/>
  <c r="R41" i="2"/>
  <c r="R42" i="2"/>
  <c r="R43" i="2"/>
  <c r="R44" i="2"/>
  <c r="R46" i="2"/>
  <c r="R47" i="2"/>
  <c r="R49" i="2"/>
  <c r="R50" i="2"/>
  <c r="R51" i="2"/>
  <c r="R52" i="2"/>
  <c r="R54" i="2"/>
  <c r="R55" i="2"/>
  <c r="R56" i="2"/>
  <c r="R57" i="2"/>
  <c r="R58" i="2"/>
  <c r="R59" i="2"/>
  <c r="R60" i="2"/>
  <c r="R65" i="2"/>
  <c r="R66" i="2"/>
  <c r="R67" i="2"/>
  <c r="R72" i="2"/>
  <c r="R73" i="2"/>
  <c r="R74" i="2"/>
  <c r="R75" i="2"/>
  <c r="R76" i="2"/>
  <c r="R81" i="2"/>
  <c r="R82" i="2"/>
  <c r="R83" i="2"/>
  <c r="R87" i="2"/>
  <c r="R88" i="2"/>
  <c r="R89" i="2"/>
  <c r="R90" i="2"/>
  <c r="R91" i="2"/>
  <c r="R92" i="2"/>
  <c r="R97" i="2"/>
  <c r="R98" i="2"/>
  <c r="R99" i="2"/>
  <c r="R104" i="2"/>
  <c r="R105" i="2"/>
  <c r="R106" i="2"/>
  <c r="R107" i="2"/>
  <c r="R108" i="2"/>
  <c r="R113" i="2"/>
  <c r="R114" i="2"/>
  <c r="R115" i="2"/>
  <c r="R119" i="2"/>
  <c r="R120" i="2"/>
  <c r="R121" i="2"/>
  <c r="R122" i="2"/>
  <c r="R123" i="2"/>
  <c r="R127" i="2"/>
  <c r="R129" i="2"/>
  <c r="R130" i="2"/>
  <c r="R131" i="2"/>
  <c r="R135" i="2"/>
  <c r="R137" i="2"/>
  <c r="R138" i="2"/>
  <c r="R139" i="2"/>
  <c r="R145" i="2"/>
  <c r="R146" i="2"/>
  <c r="R153" i="2"/>
  <c r="R154" i="2"/>
  <c r="R155" i="2"/>
  <c r="S2" i="2"/>
  <c r="S3" i="2"/>
  <c r="T3" i="2" s="1"/>
  <c r="S4" i="2"/>
  <c r="S5" i="2"/>
  <c r="S6" i="2"/>
  <c r="S7" i="2"/>
  <c r="T7" i="2" s="1"/>
  <c r="S8" i="2"/>
  <c r="S9" i="2"/>
  <c r="T9" i="2" s="1"/>
  <c r="S10" i="2"/>
  <c r="S11" i="2"/>
  <c r="S12" i="2"/>
  <c r="S14" i="2"/>
  <c r="S15" i="2"/>
  <c r="S16" i="2"/>
  <c r="T16" i="2" s="1"/>
  <c r="S17" i="2"/>
  <c r="S18" i="2"/>
  <c r="S19" i="2"/>
  <c r="T19" i="2" s="1"/>
  <c r="S20" i="2"/>
  <c r="S21" i="2"/>
  <c r="S22" i="2"/>
  <c r="S23" i="2"/>
  <c r="T23" i="2" s="1"/>
  <c r="S24" i="2"/>
  <c r="S25" i="2"/>
  <c r="S26" i="2"/>
  <c r="S27" i="2"/>
  <c r="T27" i="2" s="1"/>
  <c r="S28" i="2"/>
  <c r="S29" i="2"/>
  <c r="S30" i="2"/>
  <c r="S31" i="2"/>
  <c r="T31" i="2" s="1"/>
  <c r="S32" i="2"/>
  <c r="S33" i="2"/>
  <c r="T33" i="2" s="1"/>
  <c r="S34" i="2"/>
  <c r="S35" i="2"/>
  <c r="T35" i="2" s="1"/>
  <c r="S36" i="2"/>
  <c r="S37" i="2"/>
  <c r="S38" i="2"/>
  <c r="S39" i="2"/>
  <c r="T39" i="2" s="1"/>
  <c r="S40" i="2"/>
  <c r="S41" i="2"/>
  <c r="T41" i="2" s="1"/>
  <c r="S42" i="2"/>
  <c r="S43" i="2"/>
  <c r="T43" i="2" s="1"/>
  <c r="S44" i="2"/>
  <c r="S45" i="2"/>
  <c r="T45" i="2" s="1"/>
  <c r="S46" i="2"/>
  <c r="S47" i="2"/>
  <c r="S48" i="2"/>
  <c r="S49" i="2"/>
  <c r="T49" i="2" s="1"/>
  <c r="S50" i="2"/>
  <c r="S51" i="2"/>
  <c r="T51" i="2" s="1"/>
  <c r="S52" i="2"/>
  <c r="S53" i="2"/>
  <c r="S56" i="2"/>
  <c r="S57" i="2"/>
  <c r="T57" i="2" s="1"/>
  <c r="S58" i="2"/>
  <c r="S59" i="2"/>
  <c r="S60" i="2"/>
  <c r="S61" i="2"/>
  <c r="T61" i="2" s="1"/>
  <c r="S65" i="2"/>
  <c r="T65" i="2" s="1"/>
  <c r="S66" i="2"/>
  <c r="S67" i="2"/>
  <c r="T67" i="2" s="1"/>
  <c r="S69" i="2"/>
  <c r="T69" i="2" s="1"/>
  <c r="S71" i="2"/>
  <c r="T71" i="2" s="1"/>
  <c r="S73" i="2"/>
  <c r="T73" i="2" s="1"/>
  <c r="S74" i="2"/>
  <c r="S75" i="2"/>
  <c r="S76" i="2"/>
  <c r="S77" i="2"/>
  <c r="S79" i="2"/>
  <c r="T79" i="2" s="1"/>
  <c r="S80" i="2"/>
  <c r="S81" i="2"/>
  <c r="T81" i="2" s="1"/>
  <c r="S82" i="2"/>
  <c r="S83" i="2"/>
  <c r="S84" i="2"/>
  <c r="S85" i="2"/>
  <c r="T85" i="2" s="1"/>
  <c r="S88" i="2"/>
  <c r="S89" i="2"/>
  <c r="T89" i="2" s="1"/>
  <c r="S90" i="2"/>
  <c r="S91" i="2"/>
  <c r="T91" i="2" s="1"/>
  <c r="S95" i="2"/>
  <c r="T95" i="2" s="1"/>
  <c r="S97" i="2"/>
  <c r="T97" i="2" s="1"/>
  <c r="S98" i="2"/>
  <c r="S99" i="2"/>
  <c r="T99" i="2" s="1"/>
  <c r="S105" i="2"/>
  <c r="T105" i="2" s="1"/>
  <c r="S106" i="2"/>
  <c r="S108" i="2"/>
  <c r="S111" i="2"/>
  <c r="T111" i="2" s="1"/>
  <c r="S113" i="2"/>
  <c r="T113" i="2" s="1"/>
  <c r="S114" i="2"/>
  <c r="S115" i="2"/>
  <c r="S121" i="2"/>
  <c r="T121" i="2" s="1"/>
  <c r="S122" i="2"/>
  <c r="S127" i="2"/>
  <c r="T127" i="2" s="1"/>
  <c r="S129" i="2"/>
  <c r="T129" i="2" s="1"/>
  <c r="S130" i="2"/>
  <c r="S131" i="2"/>
  <c r="T131" i="2" s="1"/>
  <c r="S132" i="2"/>
  <c r="S137" i="2"/>
  <c r="T137" i="2" s="1"/>
  <c r="S138" i="2"/>
  <c r="S139" i="2"/>
  <c r="T139" i="2" s="1"/>
  <c r="S145" i="2"/>
  <c r="T145" i="2" s="1"/>
  <c r="S146" i="2"/>
  <c r="S153" i="2"/>
  <c r="T153" i="2" s="1"/>
  <c r="S154" i="2"/>
  <c r="S156" i="2"/>
  <c r="T2" i="2"/>
  <c r="T4" i="2"/>
  <c r="T5" i="2"/>
  <c r="T6" i="2"/>
  <c r="T8" i="2"/>
  <c r="T10" i="2"/>
  <c r="T11" i="2"/>
  <c r="T12" i="2"/>
  <c r="T14" i="2"/>
  <c r="T15" i="2"/>
  <c r="T17" i="2"/>
  <c r="T18" i="2"/>
  <c r="T20" i="2"/>
  <c r="T21" i="2"/>
  <c r="T22" i="2"/>
  <c r="T24" i="2"/>
  <c r="T25" i="2"/>
  <c r="T26" i="2"/>
  <c r="T28" i="2"/>
  <c r="T29" i="2"/>
  <c r="T30" i="2"/>
  <c r="T32" i="2"/>
  <c r="T34" i="2"/>
  <c r="T36" i="2"/>
  <c r="T37" i="2"/>
  <c r="T38" i="2"/>
  <c r="T40" i="2"/>
  <c r="T42" i="2"/>
  <c r="T44" i="2"/>
  <c r="T46" i="2"/>
  <c r="T47" i="2"/>
  <c r="T48" i="2"/>
  <c r="T50" i="2"/>
  <c r="T52" i="2"/>
  <c r="T53" i="2"/>
  <c r="T54" i="2"/>
  <c r="T56" i="2"/>
  <c r="T58" i="2"/>
  <c r="T59" i="2"/>
  <c r="T60" i="2"/>
  <c r="T62" i="2"/>
  <c r="T64" i="2"/>
  <c r="T66" i="2"/>
  <c r="T68" i="2"/>
  <c r="T70" i="2"/>
  <c r="T72" i="2"/>
  <c r="T74" i="2"/>
  <c r="T75" i="2"/>
  <c r="T76" i="2"/>
  <c r="T77" i="2"/>
  <c r="T78" i="2"/>
  <c r="T80" i="2"/>
  <c r="T82" i="2"/>
  <c r="T83" i="2"/>
  <c r="T84" i="2"/>
  <c r="T86" i="2"/>
  <c r="T88" i="2"/>
  <c r="T90" i="2"/>
  <c r="T92" i="2"/>
  <c r="T94" i="2"/>
  <c r="T96" i="2"/>
  <c r="T98" i="2"/>
  <c r="T100" i="2"/>
  <c r="T102" i="2"/>
  <c r="T104" i="2"/>
  <c r="T106" i="2"/>
  <c r="T108" i="2"/>
  <c r="T110" i="2"/>
  <c r="T112" i="2"/>
  <c r="T114" i="2"/>
  <c r="T115" i="2"/>
  <c r="T116" i="2"/>
  <c r="T118" i="2"/>
  <c r="T120" i="2"/>
  <c r="T122" i="2"/>
  <c r="T124" i="2"/>
  <c r="T126" i="2"/>
  <c r="T128" i="2"/>
  <c r="T130" i="2"/>
  <c r="T132" i="2"/>
  <c r="T134" i="2"/>
  <c r="T136" i="2"/>
  <c r="T138" i="2"/>
  <c r="T140" i="2"/>
  <c r="T142" i="2"/>
  <c r="T144" i="2"/>
  <c r="T146" i="2"/>
  <c r="T148" i="2"/>
  <c r="T150" i="2"/>
  <c r="T152" i="2"/>
  <c r="T154" i="2"/>
  <c r="T156" i="2"/>
  <c r="T158" i="2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147" i="2" l="1"/>
  <c r="T147" i="2" s="1"/>
  <c r="S112" i="2"/>
  <c r="S100" i="2"/>
  <c r="S63" i="2"/>
  <c r="T63" i="2" s="1"/>
  <c r="R136" i="2"/>
  <c r="S143" i="2"/>
  <c r="T143" i="2" s="1"/>
  <c r="S68" i="2"/>
  <c r="R159" i="2"/>
  <c r="R144" i="2"/>
  <c r="R116" i="2"/>
  <c r="R96" i="2"/>
  <c r="R64" i="2"/>
  <c r="S140" i="2"/>
  <c r="S151" i="2"/>
  <c r="T151" i="2" s="1"/>
  <c r="S124" i="2"/>
  <c r="R103" i="2"/>
  <c r="S148" i="2"/>
  <c r="R152" i="2"/>
  <c r="S157" i="2"/>
  <c r="T157" i="2" s="1"/>
  <c r="S149" i="2"/>
  <c r="T149" i="2" s="1"/>
  <c r="S141" i="2"/>
  <c r="T141" i="2" s="1"/>
  <c r="S133" i="2"/>
  <c r="T133" i="2" s="1"/>
  <c r="S125" i="2"/>
  <c r="T125" i="2" s="1"/>
  <c r="S117" i="2"/>
  <c r="T117" i="2" s="1"/>
  <c r="S109" i="2"/>
  <c r="T109" i="2" s="1"/>
  <c r="S101" i="2"/>
  <c r="T101" i="2" s="1"/>
  <c r="S93" i="2"/>
  <c r="T93" i="2" s="1"/>
  <c r="S13" i="2"/>
  <c r="T13" i="2" s="1"/>
  <c r="R128" i="2"/>
  <c r="R158" i="2"/>
  <c r="R142" i="2"/>
  <c r="R126" i="2"/>
  <c r="R118" i="2"/>
  <c r="R110" i="2"/>
  <c r="R102" i="2"/>
  <c r="R94" i="2"/>
  <c r="R78" i="2"/>
  <c r="R70" i="2"/>
  <c r="R62" i="2"/>
  <c r="R150" i="2"/>
  <c r="R134" i="2"/>
  <c r="R86" i="2"/>
  <c r="I2" i="1" a="1"/>
  <c r="C2" i="1" a="1"/>
  <c r="B2" i="1" a="1"/>
  <c r="D2" i="1" a="1"/>
  <c r="O3" i="1" s="1"/>
  <c r="G2" i="1" a="1"/>
  <c r="G2" i="1" s="1"/>
  <c r="H2" i="1" a="1"/>
  <c r="E73" i="1" l="1"/>
  <c r="E72" i="1"/>
  <c r="E70" i="1"/>
  <c r="E71" i="1"/>
  <c r="E69" i="1"/>
  <c r="E68" i="1"/>
  <c r="E67" i="1"/>
  <c r="E66" i="1"/>
  <c r="H2" i="1"/>
  <c r="J21" i="1"/>
  <c r="E63" i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<sst xmlns="http://schemas.openxmlformats.org/spreadsheetml/2006/main" count="529" uniqueCount="50">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</sst>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/>
    </xf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ont>
        <b/>
        <i val="0"/>
        <color rgb="FF00B05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265.08333333333331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221.06944444444446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3</c:v>
                </c:pt>
                <c:pt idx="69">
                  <c:v>5</c:v>
                </c:pt>
                <c:pt idx="70">
                  <c:v>1</c:v>
                </c:pt>
                <c:pt idx="7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65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204</c:v>
                </c:pt>
                <c:pt idx="1">
                  <c:v>204</c:v>
                </c:pt>
                <c:pt idx="2">
                  <c:v>200.99999999999997</c:v>
                </c:pt>
                <c:pt idx="3">
                  <c:v>200.99999999999997</c:v>
                </c:pt>
                <c:pt idx="4">
                  <c:v>205</c:v>
                </c:pt>
                <c:pt idx="5">
                  <c:v>200</c:v>
                </c:pt>
                <c:pt idx="6">
                  <c:v>200</c:v>
                </c:pt>
                <c:pt idx="7">
                  <c:v>199</c:v>
                </c:pt>
                <c:pt idx="8">
                  <c:v>220.00000000000003</c:v>
                </c:pt>
                <c:pt idx="9">
                  <c:v>200</c:v>
                </c:pt>
                <c:pt idx="10">
                  <c:v>204</c:v>
                </c:pt>
                <c:pt idx="11">
                  <c:v>199</c:v>
                </c:pt>
                <c:pt idx="12">
                  <c:v>200</c:v>
                </c:pt>
                <c:pt idx="13">
                  <c:v>199</c:v>
                </c:pt>
                <c:pt idx="14">
                  <c:v>200</c:v>
                </c:pt>
                <c:pt idx="15">
                  <c:v>199</c:v>
                </c:pt>
                <c:pt idx="16">
                  <c:v>199</c:v>
                </c:pt>
                <c:pt idx="17">
                  <c:v>199</c:v>
                </c:pt>
                <c:pt idx="18">
                  <c:v>200</c:v>
                </c:pt>
                <c:pt idx="19">
                  <c:v>200.99999999999997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133</c:v>
                </c:pt>
                <c:pt idx="1">
                  <c:v>168</c:v>
                </c:pt>
                <c:pt idx="2">
                  <c:v>129</c:v>
                </c:pt>
                <c:pt idx="3">
                  <c:v>145</c:v>
                </c:pt>
                <c:pt idx="4">
                  <c:v>132</c:v>
                </c:pt>
                <c:pt idx="5">
                  <c:v>200</c:v>
                </c:pt>
                <c:pt idx="6">
                  <c:v>151</c:v>
                </c:pt>
                <c:pt idx="7">
                  <c:v>128</c:v>
                </c:pt>
                <c:pt idx="8">
                  <c:v>130</c:v>
                </c:pt>
                <c:pt idx="9">
                  <c:v>130</c:v>
                </c:pt>
                <c:pt idx="10">
                  <c:v>136</c:v>
                </c:pt>
                <c:pt idx="11">
                  <c:v>124</c:v>
                </c:pt>
                <c:pt idx="12">
                  <c:v>164</c:v>
                </c:pt>
                <c:pt idx="13">
                  <c:v>131</c:v>
                </c:pt>
                <c:pt idx="14">
                  <c:v>134</c:v>
                </c:pt>
                <c:pt idx="15">
                  <c:v>134</c:v>
                </c:pt>
                <c:pt idx="16">
                  <c:v>135</c:v>
                </c:pt>
                <c:pt idx="17">
                  <c:v>127</c:v>
                </c:pt>
                <c:pt idx="18">
                  <c:v>123</c:v>
                </c:pt>
                <c:pt idx="19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71</c:v>
                </c:pt>
                <c:pt idx="1">
                  <c:v>36</c:v>
                </c:pt>
                <c:pt idx="2">
                  <c:v>71.999999999999972</c:v>
                </c:pt>
                <c:pt idx="3">
                  <c:v>55.999999999999972</c:v>
                </c:pt>
                <c:pt idx="4">
                  <c:v>73</c:v>
                </c:pt>
                <c:pt idx="5">
                  <c:v>0</c:v>
                </c:pt>
                <c:pt idx="6">
                  <c:v>49</c:v>
                </c:pt>
                <c:pt idx="7">
                  <c:v>71</c:v>
                </c:pt>
                <c:pt idx="8">
                  <c:v>90.000000000000028</c:v>
                </c:pt>
                <c:pt idx="9">
                  <c:v>70</c:v>
                </c:pt>
                <c:pt idx="10">
                  <c:v>68</c:v>
                </c:pt>
                <c:pt idx="11">
                  <c:v>75</c:v>
                </c:pt>
                <c:pt idx="12">
                  <c:v>36</c:v>
                </c:pt>
                <c:pt idx="13">
                  <c:v>68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72</c:v>
                </c:pt>
                <c:pt idx="18">
                  <c:v>77</c:v>
                </c:pt>
                <c:pt idx="19">
                  <c:v>66.999999999999972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159" tableType="queryTable" headerRowDxfId="47" dataDxfId="45" headerRowBorderDxfId="46">
  <autoFilter ref="A1:T159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4"/>
    <tableColumn id="2" xr3:uid="{8875E207-7656-4267-B823-C7E520343114}" uniqueName="2" name="from_edge" queryTableFieldId="2" dataDxfId="18" totalsRowDxfId="43"/>
    <tableColumn id="3" xr3:uid="{C1D71A6F-C15E-4E3F-B3E8-4E53F667AAA9}" uniqueName="3" name="to_edge" queryTableFieldId="3" dataDxfId="17" totalsRowDxfId="42"/>
    <tableColumn id="4" xr3:uid="{7C02CC50-B264-48BB-9ED1-F9CB62433332}" uniqueName="4" name="depart_time_s" queryTableFieldId="4" dataDxfId="16" totalsRowDxfId="41"/>
    <tableColumn id="5" xr3:uid="{84C4017E-49DC-4A74-9844-E02BA6A6256F}" uniqueName="5" name="arrival_time_s" queryTableFieldId="5" dataDxfId="15" totalsRowDxfId="40"/>
    <tableColumn id="6" xr3:uid="{64B822F0-2F2E-4BB3-89F9-68F1A5C0C73F}" uniqueName="6" name="travel_time_s" queryTableFieldId="6" dataDxfId="14" totalsRowDxfId="39"/>
    <tableColumn id="7" xr3:uid="{9C1D084C-698C-4580-91F5-ABABFD309737}" uniqueName="7" name="waiting_time_s" queryTableFieldId="7" dataDxfId="13" totalsRowDxfId="38"/>
    <tableColumn id="8" xr3:uid="{A447A697-7A38-49C3-B388-F9B02F5A7E70}" uniqueName="8" name="avg_speed_m_s" queryTableFieldId="8" dataDxfId="12" totalsRowDxfId="37"/>
    <tableColumn id="9" xr3:uid="{DEEF1CB2-D9D7-4554-82AB-9BF754A5D372}" uniqueName="9" name="distance_m" queryTableFieldId="9" dataDxfId="11" totalsRowDxfId="36"/>
    <tableColumn id="10" xr3:uid="{43F85DBF-84F2-44EF-A68D-87A60E932491}" uniqueName="10" name="tls_actions" queryTableFieldId="10" dataDxfId="10" totalsRowDxfId="35"/>
    <tableColumn id="11" xr3:uid="{9FA8088E-D2D4-42E8-ACE7-C9EC4341B6CE}" uniqueName="11" name="arrived" queryTableFieldId="11" dataDxfId="9" totalsRowDxfId="34"/>
    <tableColumn id="12" xr3:uid="{238E5578-7FB5-4297-90CC-B5EDBC46F60B}" uniqueName="12" name="traffic_data_time" queryTableFieldId="12" dataDxfId="8" totalsRowDxfId="33"/>
    <tableColumn id="13" xr3:uid="{8C55C22D-6A81-41B8-91C9-AECDEFA14C8F}" uniqueName="13" name="ESCENARIO" queryTableFieldId="13" dataDxfId="7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30">
      <calculatedColumnFormula>IF(H2="","",H2*3.6)</calculatedColumnFormula>
    </tableColumn>
    <tableColumn id="16" xr3:uid="{A4D647BD-3315-40AE-8879-9C4402C0E240}" uniqueName="16" name="distancia_km" queryTableFieldId="16" dataDxfId="4" totalsRowDxfId="29">
      <calculatedColumnFormula>IF(I2="","",I2/1000)</calculatedColumnFormula>
    </tableColumn>
    <tableColumn id="17" xr3:uid="{E57B02F2-42E6-46EA-B725-0039943C43E8}" uniqueName="17" name="tiempo_base_ref" queryTableFieldId="17" dataDxfId="3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156"/>
  <sheetViews>
    <sheetView tabSelected="1" topLeftCell="M141" zoomScaleNormal="100" workbookViewId="0">
      <selection activeCell="T48" sqref="T48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9" t="s">
        <v>12</v>
      </c>
      <c r="B2" s="29" t="s">
        <v>22</v>
      </c>
      <c r="C2" s="2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30" t="str">
        <f t="shared" ref="M2:M33" si="0">B2&amp;" -&gt; "&amp;C2&amp;" | t="&amp;D2&amp;" | "&amp;TEXT(L2,"dd/mm/aaaa hh:mm")</f>
        <v>238829520 -&gt; 5989317 | t=250 | 24/05/2026 11:45</v>
      </c>
      <c r="N2" s="32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2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32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32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9" t="s">
        <v>13</v>
      </c>
      <c r="B3" s="29" t="s">
        <v>22</v>
      </c>
      <c r="C3" s="2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30" t="str">
        <f t="shared" si="0"/>
        <v>238829520 -&gt; 5989317 | t=250 | 24/05/2026 11:45</v>
      </c>
      <c r="N3" s="3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31" t="str">
        <f t="shared" si="5"/>
        <v>1 min 18 s</v>
      </c>
      <c r="S3" s="7">
        <f t="shared" si="6"/>
        <v>0.33050847457627119</v>
      </c>
      <c r="T3" s="31" t="str">
        <f t="shared" si="7"/>
        <v>Mejora</v>
      </c>
    </row>
    <row r="4" spans="1:20" x14ac:dyDescent="0.3">
      <c r="A4" s="29" t="s">
        <v>12</v>
      </c>
      <c r="B4" s="29" t="s">
        <v>22</v>
      </c>
      <c r="C4" s="2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30" t="str">
        <f t="shared" si="0"/>
        <v>238829520 -&gt; 5989317 | t=250 | 24/05/2026 12:30</v>
      </c>
      <c r="N4" s="3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31" t="str">
        <f t="shared" si="5"/>
        <v/>
      </c>
      <c r="S4" s="7" t="str">
        <f t="shared" si="6"/>
        <v/>
      </c>
      <c r="T4" s="31" t="str">
        <f t="shared" si="7"/>
        <v>Referencia</v>
      </c>
    </row>
    <row r="5" spans="1:20" x14ac:dyDescent="0.3">
      <c r="A5" s="29" t="s">
        <v>13</v>
      </c>
      <c r="B5" s="29" t="s">
        <v>22</v>
      </c>
      <c r="C5" s="2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30" t="str">
        <f t="shared" si="0"/>
        <v>238829520 -&gt; 5989317 | t=250 | 24/05/2026 12:30</v>
      </c>
      <c r="N5" s="3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31" t="str">
        <f t="shared" si="5"/>
        <v>0 min 08 s</v>
      </c>
      <c r="S5" s="7">
        <f t="shared" si="6"/>
        <v>5.0000000000000044E-2</v>
      </c>
      <c r="T5" s="31" t="str">
        <f t="shared" si="7"/>
        <v>Mejora</v>
      </c>
    </row>
    <row r="6" spans="1:20" x14ac:dyDescent="0.3">
      <c r="A6" s="29" t="s">
        <v>13</v>
      </c>
      <c r="B6" s="29" t="s">
        <v>22</v>
      </c>
      <c r="C6" s="2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30" t="str">
        <f t="shared" si="0"/>
        <v>238829520 -&gt; 5989317 | t=500 | 24/05/2026 12:30</v>
      </c>
      <c r="N6" s="3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31" t="str">
        <f t="shared" si="5"/>
        <v/>
      </c>
      <c r="S6" s="7" t="str">
        <f t="shared" si="6"/>
        <v/>
      </c>
      <c r="T6" s="31" t="str">
        <f t="shared" si="7"/>
        <v>Sin referencia</v>
      </c>
    </row>
    <row r="7" spans="1:20" x14ac:dyDescent="0.3">
      <c r="A7" s="29" t="s">
        <v>13</v>
      </c>
      <c r="B7" s="29" t="s">
        <v>22</v>
      </c>
      <c r="C7" s="2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30" t="str">
        <f t="shared" si="0"/>
        <v>238829520 -&gt; 5989317 | t=500 | 24/05/2026 12:30</v>
      </c>
      <c r="N7" s="3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31" t="str">
        <f t="shared" si="5"/>
        <v/>
      </c>
      <c r="S7" s="7" t="str">
        <f t="shared" si="6"/>
        <v/>
      </c>
      <c r="T7" s="31" t="str">
        <f t="shared" si="7"/>
        <v>Sin referencia</v>
      </c>
    </row>
    <row r="8" spans="1:20" x14ac:dyDescent="0.3">
      <c r="A8" s="29" t="s">
        <v>12</v>
      </c>
      <c r="B8" s="29" t="s">
        <v>22</v>
      </c>
      <c r="C8" s="2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30" t="str">
        <f t="shared" si="0"/>
        <v>238829520 -&gt; 5989317 | t=500 | 24/05/2026 12:40</v>
      </c>
      <c r="N8" s="3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31" t="str">
        <f t="shared" si="5"/>
        <v/>
      </c>
      <c r="S8" s="7" t="str">
        <f t="shared" si="6"/>
        <v/>
      </c>
      <c r="T8" s="31" t="str">
        <f t="shared" si="7"/>
        <v>Referencia</v>
      </c>
    </row>
    <row r="9" spans="1:20" x14ac:dyDescent="0.3">
      <c r="A9" s="29" t="s">
        <v>13</v>
      </c>
      <c r="B9" s="29" t="s">
        <v>22</v>
      </c>
      <c r="C9" s="2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30" t="str">
        <f t="shared" si="0"/>
        <v>238829520 -&gt; 5989317 | t=500 | 24/05/2026 12:40</v>
      </c>
      <c r="N9" s="3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31" t="str">
        <f t="shared" si="5"/>
        <v>1 min 48 s</v>
      </c>
      <c r="S9" s="7">
        <f t="shared" si="6"/>
        <v>0.17560975609756102</v>
      </c>
      <c r="T9" s="31" t="str">
        <f t="shared" si="7"/>
        <v>Mejora</v>
      </c>
    </row>
    <row r="10" spans="1:20" x14ac:dyDescent="0.3">
      <c r="A10" s="29" t="s">
        <v>12</v>
      </c>
      <c r="B10" s="29" t="s">
        <v>22</v>
      </c>
      <c r="C10" s="2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30" t="str">
        <f t="shared" si="0"/>
        <v>238829520 -&gt; 5989317 | t=300 | 24/05/2026 12:45</v>
      </c>
      <c r="N10" s="3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31" t="str">
        <f t="shared" si="5"/>
        <v/>
      </c>
      <c r="S10" s="7" t="str">
        <f t="shared" si="6"/>
        <v/>
      </c>
      <c r="T10" s="31" t="str">
        <f t="shared" si="7"/>
        <v>Referencia</v>
      </c>
    </row>
    <row r="11" spans="1:20" x14ac:dyDescent="0.3">
      <c r="A11" s="29" t="s">
        <v>13</v>
      </c>
      <c r="B11" s="29" t="s">
        <v>22</v>
      </c>
      <c r="C11" s="2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30" t="str">
        <f t="shared" si="0"/>
        <v>238829520 -&gt; 5989317 | t=300 | 24/05/2026 12:45</v>
      </c>
      <c r="N11" s="3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31" t="str">
        <f t="shared" si="5"/>
        <v>1 min 19 s</v>
      </c>
      <c r="S11" s="7">
        <f t="shared" si="6"/>
        <v>0.2851985559566787</v>
      </c>
      <c r="T11" s="31" t="str">
        <f t="shared" si="7"/>
        <v>Mejora</v>
      </c>
    </row>
    <row r="12" spans="1:20" x14ac:dyDescent="0.3">
      <c r="A12" s="29" t="s">
        <v>12</v>
      </c>
      <c r="B12" s="29" t="s">
        <v>22</v>
      </c>
      <c r="C12" s="2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30" t="str">
        <f t="shared" si="0"/>
        <v>238829520 -&gt; 5989317 | t=250 | 24/05/2026 12:55</v>
      </c>
      <c r="N12" s="3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31" t="str">
        <f t="shared" si="5"/>
        <v/>
      </c>
      <c r="S12" s="7" t="str">
        <f t="shared" si="6"/>
        <v/>
      </c>
      <c r="T12" s="31" t="str">
        <f t="shared" si="7"/>
        <v>Referencia</v>
      </c>
    </row>
    <row r="13" spans="1:20" x14ac:dyDescent="0.3">
      <c r="A13" s="29" t="s">
        <v>13</v>
      </c>
      <c r="B13" s="29" t="s">
        <v>22</v>
      </c>
      <c r="C13" s="2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30" t="str">
        <f t="shared" si="0"/>
        <v>238829520 -&gt; 5989317 | t=250 | 24/05/2026 12:55</v>
      </c>
      <c r="N13" s="3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31" t="str">
        <f t="shared" si="5"/>
        <v>0 min 12 s</v>
      </c>
      <c r="S13" s="7">
        <f t="shared" si="6"/>
        <v>7.7419354838709695E-2</v>
      </c>
      <c r="T13" s="31" t="str">
        <f t="shared" si="7"/>
        <v>Mejora</v>
      </c>
    </row>
    <row r="14" spans="1:20" x14ac:dyDescent="0.3">
      <c r="A14" s="29" t="s">
        <v>13</v>
      </c>
      <c r="B14" s="29" t="s">
        <v>22</v>
      </c>
      <c r="C14" s="2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30" t="str">
        <f t="shared" si="0"/>
        <v>238829520 -&gt; 5989317 | t=500 | 24/05/2026 13:00</v>
      </c>
      <c r="N14" s="3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31" t="str">
        <f t="shared" si="5"/>
        <v>0 min 28 s</v>
      </c>
      <c r="S14" s="7">
        <f t="shared" si="6"/>
        <v>4.8695652173913008E-2</v>
      </c>
      <c r="T14" s="31" t="str">
        <f t="shared" si="7"/>
        <v>Mejora</v>
      </c>
    </row>
    <row r="15" spans="1:20" x14ac:dyDescent="0.3">
      <c r="A15" s="29" t="s">
        <v>12</v>
      </c>
      <c r="B15" s="29" t="s">
        <v>22</v>
      </c>
      <c r="C15" s="2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30" t="str">
        <f t="shared" si="0"/>
        <v>238829520 -&gt; 5989317 | t=500 | 24/05/2026 13:00</v>
      </c>
      <c r="N15" s="3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31" t="str">
        <f t="shared" si="5"/>
        <v/>
      </c>
      <c r="S15" s="7" t="str">
        <f t="shared" si="6"/>
        <v/>
      </c>
      <c r="T15" s="31" t="str">
        <f t="shared" si="7"/>
        <v>Referencia</v>
      </c>
    </row>
    <row r="16" spans="1:20" x14ac:dyDescent="0.3">
      <c r="A16" s="29" t="s">
        <v>13</v>
      </c>
      <c r="B16" s="29" t="s">
        <v>22</v>
      </c>
      <c r="C16" s="2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30" t="str">
        <f t="shared" si="0"/>
        <v>238829520 -&gt; 5989317 | t=250 | 24/05/2026 13:05</v>
      </c>
      <c r="N16" s="3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31" t="str">
        <f t="shared" si="5"/>
        <v>0 min 14 s</v>
      </c>
      <c r="S16" s="7">
        <f t="shared" si="6"/>
        <v>8.5889570552147285E-2</v>
      </c>
      <c r="T16" s="31" t="str">
        <f t="shared" si="7"/>
        <v>Mejora</v>
      </c>
    </row>
    <row r="17" spans="1:20" x14ac:dyDescent="0.3">
      <c r="A17" s="29" t="s">
        <v>12</v>
      </c>
      <c r="B17" s="29" t="s">
        <v>22</v>
      </c>
      <c r="C17" s="2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30" t="str">
        <f t="shared" si="0"/>
        <v>238829520 -&gt; 5989317 | t=250 | 24/05/2026 13:05</v>
      </c>
      <c r="N17" s="3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31" t="str">
        <f t="shared" si="5"/>
        <v/>
      </c>
      <c r="S17" s="7" t="str">
        <f t="shared" si="6"/>
        <v/>
      </c>
      <c r="T17" s="31" t="str">
        <f t="shared" si="7"/>
        <v>Referencia</v>
      </c>
    </row>
    <row r="18" spans="1:20" x14ac:dyDescent="0.3">
      <c r="A18" s="29" t="s">
        <v>12</v>
      </c>
      <c r="B18" s="29" t="s">
        <v>22</v>
      </c>
      <c r="C18" s="2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30" t="str">
        <f t="shared" si="0"/>
        <v>238829520 -&gt; 5989317 | t=500 | 24/05/2026 13:05</v>
      </c>
      <c r="N18" s="3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31" t="str">
        <f t="shared" si="5"/>
        <v/>
      </c>
      <c r="S18" s="7" t="str">
        <f t="shared" si="6"/>
        <v/>
      </c>
      <c r="T18" s="31" t="str">
        <f t="shared" si="7"/>
        <v>Referencia</v>
      </c>
    </row>
    <row r="19" spans="1:20" x14ac:dyDescent="0.3">
      <c r="A19" s="29" t="s">
        <v>13</v>
      </c>
      <c r="B19" s="29" t="s">
        <v>22</v>
      </c>
      <c r="C19" s="2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30" t="str">
        <f t="shared" si="0"/>
        <v>238829520 -&gt; 5989317 | t=500 | 24/05/2026 13:05</v>
      </c>
      <c r="N19" s="3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31" t="str">
        <f t="shared" si="5"/>
        <v>0 min 04 s</v>
      </c>
      <c r="S19" s="7">
        <f t="shared" si="6"/>
        <v>7.6045627376425404E-3</v>
      </c>
      <c r="T19" s="31" t="str">
        <f t="shared" si="7"/>
        <v>Mejora</v>
      </c>
    </row>
    <row r="20" spans="1:20" x14ac:dyDescent="0.3">
      <c r="A20" s="29" t="s">
        <v>12</v>
      </c>
      <c r="B20" s="29" t="s">
        <v>22</v>
      </c>
      <c r="C20" s="2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30" t="str">
        <f t="shared" si="0"/>
        <v>238829520 -&gt; 5989317 | t=3000 | 24/05/2026 13:15</v>
      </c>
      <c r="N20" s="3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31" t="str">
        <f t="shared" si="5"/>
        <v/>
      </c>
      <c r="S20" s="7" t="str">
        <f t="shared" si="6"/>
        <v/>
      </c>
      <c r="T20" s="31" t="str">
        <f t="shared" si="7"/>
        <v>Referencia</v>
      </c>
    </row>
    <row r="21" spans="1:20" x14ac:dyDescent="0.3">
      <c r="A21" s="29" t="s">
        <v>13</v>
      </c>
      <c r="B21" s="29" t="s">
        <v>22</v>
      </c>
      <c r="C21" s="2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30" t="str">
        <f t="shared" si="0"/>
        <v>238829520 -&gt; 5989317 | t=3000 | 24/05/2026 13:15</v>
      </c>
      <c r="N21" s="3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31" t="str">
        <f t="shared" si="5"/>
        <v>1 min 34 s</v>
      </c>
      <c r="S21" s="7">
        <f t="shared" si="6"/>
        <v>0.20888888888888879</v>
      </c>
      <c r="T21" s="31" t="str">
        <f t="shared" si="7"/>
        <v>Mejora</v>
      </c>
    </row>
    <row r="22" spans="1:20" x14ac:dyDescent="0.3">
      <c r="A22" s="29" t="s">
        <v>12</v>
      </c>
      <c r="B22" s="29" t="s">
        <v>22</v>
      </c>
      <c r="C22" s="2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30" t="str">
        <f t="shared" si="0"/>
        <v>238829520 -&gt; 5989317 | t=3300 | 24/05/2026 13:20</v>
      </c>
      <c r="N22" s="3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31" t="str">
        <f t="shared" si="5"/>
        <v/>
      </c>
      <c r="S22" s="7" t="str">
        <f t="shared" si="6"/>
        <v/>
      </c>
      <c r="T22" s="31" t="str">
        <f t="shared" si="7"/>
        <v>No llega</v>
      </c>
    </row>
    <row r="23" spans="1:20" x14ac:dyDescent="0.3">
      <c r="A23" s="29" t="s">
        <v>13</v>
      </c>
      <c r="B23" s="29" t="s">
        <v>22</v>
      </c>
      <c r="C23" s="2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30" t="str">
        <f t="shared" si="0"/>
        <v>238829520 -&gt; 5989317 | t=3300 | 24/05/2026 13:25</v>
      </c>
      <c r="N23" s="3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31" t="str">
        <f t="shared" si="5"/>
        <v/>
      </c>
      <c r="S23" s="7" t="str">
        <f t="shared" si="6"/>
        <v/>
      </c>
      <c r="T23" s="31" t="str">
        <f t="shared" si="7"/>
        <v>Sin referencia</v>
      </c>
    </row>
    <row r="24" spans="1:20" x14ac:dyDescent="0.3">
      <c r="A24" s="29" t="s">
        <v>12</v>
      </c>
      <c r="B24" s="29" t="s">
        <v>22</v>
      </c>
      <c r="C24" s="2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30" t="str">
        <f t="shared" si="0"/>
        <v>238829520 -&gt; 5989317 | t=3450 | 24/05/2026 13:25</v>
      </c>
      <c r="N24" s="3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31" t="str">
        <f t="shared" si="5"/>
        <v/>
      </c>
      <c r="S24" s="7" t="str">
        <f t="shared" si="6"/>
        <v/>
      </c>
      <c r="T24" s="31" t="str">
        <f t="shared" si="7"/>
        <v>No llega</v>
      </c>
    </row>
    <row r="25" spans="1:20" x14ac:dyDescent="0.3">
      <c r="A25" s="29" t="s">
        <v>13</v>
      </c>
      <c r="B25" s="29" t="s">
        <v>22</v>
      </c>
      <c r="C25" s="2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30" t="str">
        <f t="shared" si="0"/>
        <v>238829520 -&gt; 5989317 | t=3450 | 24/05/2026 13:25</v>
      </c>
      <c r="N25" s="3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31" t="str">
        <f t="shared" si="5"/>
        <v/>
      </c>
      <c r="S25" s="7" t="str">
        <f t="shared" si="6"/>
        <v/>
      </c>
      <c r="T25" s="31" t="str">
        <f t="shared" si="7"/>
        <v>No llega</v>
      </c>
    </row>
    <row r="26" spans="1:20" x14ac:dyDescent="0.3">
      <c r="A26" s="29" t="s">
        <v>12</v>
      </c>
      <c r="B26" s="29" t="s">
        <v>22</v>
      </c>
      <c r="C26" s="2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30" t="str">
        <f t="shared" si="0"/>
        <v>238829520 -&gt; 5989317 | t=250 | 24/05/2026 13:25</v>
      </c>
      <c r="N26" s="3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31" t="str">
        <f t="shared" si="5"/>
        <v/>
      </c>
      <c r="S26" s="7" t="str">
        <f t="shared" si="6"/>
        <v/>
      </c>
      <c r="T26" s="31" t="str">
        <f t="shared" si="7"/>
        <v>Referencia</v>
      </c>
    </row>
    <row r="27" spans="1:20" x14ac:dyDescent="0.3">
      <c r="A27" s="29" t="s">
        <v>13</v>
      </c>
      <c r="B27" s="29" t="s">
        <v>22</v>
      </c>
      <c r="C27" s="2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30" t="str">
        <f t="shared" si="0"/>
        <v>238829520 -&gt; 5989317 | t=250 | 24/05/2026 13:25</v>
      </c>
      <c r="N27" s="3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31" t="str">
        <f t="shared" si="5"/>
        <v>1 min 12 s</v>
      </c>
      <c r="S27" s="7">
        <f t="shared" si="6"/>
        <v>0.31304347826086953</v>
      </c>
      <c r="T27" s="31" t="str">
        <f t="shared" si="7"/>
        <v>Mejora</v>
      </c>
    </row>
    <row r="28" spans="1:20" x14ac:dyDescent="0.3">
      <c r="A28" s="29" t="s">
        <v>12</v>
      </c>
      <c r="B28" s="29" t="s">
        <v>22</v>
      </c>
      <c r="C28" s="2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30" t="str">
        <f t="shared" si="0"/>
        <v>238829520 -&gt; 5990070#1 | t=250 | 24/05/2026 13:30</v>
      </c>
      <c r="N28" s="3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31" t="str">
        <f t="shared" si="5"/>
        <v/>
      </c>
      <c r="S28" s="7" t="str">
        <f t="shared" si="6"/>
        <v/>
      </c>
      <c r="T28" s="31" t="str">
        <f t="shared" si="7"/>
        <v>Referencia</v>
      </c>
    </row>
    <row r="29" spans="1:20" x14ac:dyDescent="0.3">
      <c r="A29" s="29" t="s">
        <v>13</v>
      </c>
      <c r="B29" s="29" t="s">
        <v>22</v>
      </c>
      <c r="C29" s="2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30" t="str">
        <f t="shared" si="0"/>
        <v>238829520 -&gt; 5990070#1 | t=250 | 24/05/2026 13:30</v>
      </c>
      <c r="N29" s="3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31" t="str">
        <f t="shared" si="5"/>
        <v>0 min 53 s</v>
      </c>
      <c r="S29" s="7">
        <f t="shared" si="6"/>
        <v>0.2960893854748603</v>
      </c>
      <c r="T29" s="31" t="str">
        <f t="shared" si="7"/>
        <v>Mejora</v>
      </c>
    </row>
    <row r="30" spans="1:20" x14ac:dyDescent="0.3">
      <c r="A30" s="29" t="s">
        <v>12</v>
      </c>
      <c r="B30" s="29" t="s">
        <v>22</v>
      </c>
      <c r="C30" s="2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30" t="str">
        <f t="shared" si="0"/>
        <v>238829520 -&gt; 5990070#1 | t=1000 | 24/05/2026 13:35</v>
      </c>
      <c r="N30" s="3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31" t="str">
        <f t="shared" si="5"/>
        <v/>
      </c>
      <c r="S30" s="7" t="str">
        <f t="shared" si="6"/>
        <v/>
      </c>
      <c r="T30" s="31" t="str">
        <f t="shared" si="7"/>
        <v>Referencia</v>
      </c>
    </row>
    <row r="31" spans="1:20" x14ac:dyDescent="0.3">
      <c r="A31" s="29" t="s">
        <v>13</v>
      </c>
      <c r="B31" s="29" t="s">
        <v>22</v>
      </c>
      <c r="C31" s="2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30" t="str">
        <f t="shared" si="0"/>
        <v>238829520 -&gt; 5990070#1 | t=1000 | 24/05/2026 13:35</v>
      </c>
      <c r="N31" s="3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31" t="str">
        <f t="shared" si="5"/>
        <v>-0 min 04 s</v>
      </c>
      <c r="S31" s="7">
        <f t="shared" si="6"/>
        <v>-1.2307692307692349E-2</v>
      </c>
      <c r="T31" s="31" t="str">
        <f t="shared" si="7"/>
        <v>Empeora</v>
      </c>
    </row>
    <row r="32" spans="1:20" x14ac:dyDescent="0.3">
      <c r="A32" s="29" t="s">
        <v>12</v>
      </c>
      <c r="B32" s="29" t="s">
        <v>22</v>
      </c>
      <c r="C32" s="2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30" t="str">
        <f t="shared" si="0"/>
        <v>238829520 -&gt; 5990070#1 | t=2000 | 24/05/2026 13:35</v>
      </c>
      <c r="N32" s="3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31" t="str">
        <f t="shared" si="5"/>
        <v/>
      </c>
      <c r="S32" s="7" t="str">
        <f t="shared" si="6"/>
        <v/>
      </c>
      <c r="T32" s="31" t="str">
        <f t="shared" si="7"/>
        <v>Referencia</v>
      </c>
    </row>
    <row r="33" spans="1:23" x14ac:dyDescent="0.3">
      <c r="A33" s="29" t="s">
        <v>13</v>
      </c>
      <c r="B33" s="29" t="s">
        <v>22</v>
      </c>
      <c r="C33" s="2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30" t="str">
        <f t="shared" si="0"/>
        <v>238829520 -&gt; 5990070#1 | t=2000 | 24/05/2026 13:35</v>
      </c>
      <c r="N33" s="3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31" t="str">
        <f t="shared" si="5"/>
        <v>3 min 05 s</v>
      </c>
      <c r="S33" s="7">
        <f t="shared" si="6"/>
        <v>0.50546448087431706</v>
      </c>
      <c r="T33" s="31" t="str">
        <f t="shared" si="7"/>
        <v>Mejora</v>
      </c>
    </row>
    <row r="34" spans="1:23" x14ac:dyDescent="0.3">
      <c r="A34" s="29" t="s">
        <v>12</v>
      </c>
      <c r="B34" s="29" t="s">
        <v>22</v>
      </c>
      <c r="C34" s="2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30" t="str">
        <f t="shared" ref="M34:M65" si="8">B34&amp;" -&gt; "&amp;C34&amp;" | t="&amp;D34&amp;" | "&amp;TEXT(L34,"dd/mm/aaaa hh:mm")</f>
        <v>238829520 -&gt; 5990070#1 | t=3000 | 24/05/2026 13:35</v>
      </c>
      <c r="N34" s="31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3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31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31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29" t="s">
        <v>13</v>
      </c>
      <c r="B35" s="29" t="s">
        <v>22</v>
      </c>
      <c r="C35" s="2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30" t="str">
        <f t="shared" si="8"/>
        <v>238829520 -&gt; 5990070#1 | t=3000 | 24/05/2026 13:35</v>
      </c>
      <c r="N35" s="31" t="str">
        <f t="shared" si="9"/>
        <v>1 min 59 s</v>
      </c>
      <c r="O35" s="6">
        <f t="shared" si="10"/>
        <v>46.043999999999997</v>
      </c>
      <c r="P35" s="23">
        <f t="shared" si="11"/>
        <v>1.5092019999999999</v>
      </c>
      <c r="Q35" s="4">
        <f t="shared" si="12"/>
        <v>1.5509259259259259E-3</v>
      </c>
      <c r="R35" s="31" t="str">
        <f t="shared" si="13"/>
        <v>0 min 15 s</v>
      </c>
      <c r="S35" s="7">
        <f t="shared" si="14"/>
        <v>0.11194029850746272</v>
      </c>
      <c r="T35" s="31" t="str">
        <f t="shared" si="15"/>
        <v>Mejora</v>
      </c>
    </row>
    <row r="36" spans="1:23" x14ac:dyDescent="0.3">
      <c r="A36" s="29" t="s">
        <v>12</v>
      </c>
      <c r="B36" s="29" t="s">
        <v>22</v>
      </c>
      <c r="C36" s="2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30" t="str">
        <f t="shared" si="8"/>
        <v>238829520 -&gt; 5990070#1 | t=250 | 24/05/2026 18:25</v>
      </c>
      <c r="N36" s="31" t="str">
        <f t="shared" si="9"/>
        <v>3 min 00 s</v>
      </c>
      <c r="O36" s="6">
        <f t="shared" si="10"/>
        <v>30.312000000000001</v>
      </c>
      <c r="P36" s="23">
        <f t="shared" si="11"/>
        <v>1.507204</v>
      </c>
      <c r="Q36" s="4">
        <f t="shared" si="12"/>
        <v>2.0833333333333333E-3</v>
      </c>
      <c r="R36" s="31" t="str">
        <f t="shared" si="13"/>
        <v/>
      </c>
      <c r="S36" s="7" t="str">
        <f t="shared" si="14"/>
        <v/>
      </c>
      <c r="T36" s="31" t="str">
        <f t="shared" si="15"/>
        <v>Referencia</v>
      </c>
    </row>
    <row r="37" spans="1:23" x14ac:dyDescent="0.3">
      <c r="A37" s="29" t="s">
        <v>13</v>
      </c>
      <c r="B37" s="29" t="s">
        <v>22</v>
      </c>
      <c r="C37" s="2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30" t="str">
        <f t="shared" si="8"/>
        <v>238829520 -&gt; 5990070#1 | t=250 | 24/05/2026 18:25</v>
      </c>
      <c r="N37" s="31" t="str">
        <f t="shared" si="9"/>
        <v>1 min 59 s</v>
      </c>
      <c r="O37" s="6">
        <f t="shared" si="10"/>
        <v>45.972000000000001</v>
      </c>
      <c r="P37" s="23">
        <f t="shared" si="11"/>
        <v>1.506915</v>
      </c>
      <c r="Q37" s="4">
        <f t="shared" si="12"/>
        <v>2.0833333333333333E-3</v>
      </c>
      <c r="R37" s="31" t="str">
        <f t="shared" si="13"/>
        <v>1 min 01 s</v>
      </c>
      <c r="S37" s="7">
        <f t="shared" si="14"/>
        <v>0.33888888888888891</v>
      </c>
      <c r="T37" s="31" t="str">
        <f t="shared" si="15"/>
        <v>Mejora</v>
      </c>
    </row>
    <row r="38" spans="1:23" x14ac:dyDescent="0.3">
      <c r="A38" s="29" t="s">
        <v>12</v>
      </c>
      <c r="B38" s="29" t="s">
        <v>22</v>
      </c>
      <c r="C38" s="2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30" t="str">
        <f t="shared" si="8"/>
        <v>238829520 -&gt; 5990070#1 | t=1000 | 24/05/2026 18:30</v>
      </c>
      <c r="N38" s="31" t="str">
        <f t="shared" si="9"/>
        <v>8 min 55 s</v>
      </c>
      <c r="O38" s="6">
        <f t="shared" si="10"/>
        <v>10.1592</v>
      </c>
      <c r="P38" s="23">
        <f t="shared" si="11"/>
        <v>1.506702</v>
      </c>
      <c r="Q38" s="4">
        <f t="shared" si="12"/>
        <v>6.1921296296296299E-3</v>
      </c>
      <c r="R38" s="31" t="str">
        <f t="shared" si="13"/>
        <v/>
      </c>
      <c r="S38" s="7" t="str">
        <f t="shared" si="14"/>
        <v/>
      </c>
      <c r="T38" s="31" t="str">
        <f t="shared" si="15"/>
        <v>Referencia</v>
      </c>
    </row>
    <row r="39" spans="1:23" x14ac:dyDescent="0.3">
      <c r="A39" s="29" t="s">
        <v>13</v>
      </c>
      <c r="B39" s="29" t="s">
        <v>22</v>
      </c>
      <c r="C39" s="2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30" t="str">
        <f t="shared" si="8"/>
        <v>238829520 -&gt; 5990070#1 | t=1000 | 24/05/2026 18:30</v>
      </c>
      <c r="N39" s="31" t="str">
        <f t="shared" si="9"/>
        <v>11 min 45 s</v>
      </c>
      <c r="O39" s="6">
        <f t="shared" si="10"/>
        <v>7.7111999999999998</v>
      </c>
      <c r="P39" s="23">
        <f t="shared" si="11"/>
        <v>1.4947219999999999</v>
      </c>
      <c r="Q39" s="4">
        <f t="shared" si="12"/>
        <v>6.1921296296296299E-3</v>
      </c>
      <c r="R39" s="31" t="str">
        <f t="shared" si="13"/>
        <v>-2 min 50 s</v>
      </c>
      <c r="S39" s="7">
        <f t="shared" si="14"/>
        <v>-0.31775700934579443</v>
      </c>
      <c r="T39" s="31" t="str">
        <f t="shared" si="15"/>
        <v>Empeora</v>
      </c>
    </row>
    <row r="40" spans="1:23" x14ac:dyDescent="0.3">
      <c r="A40" s="29" t="s">
        <v>12</v>
      </c>
      <c r="B40" s="29" t="s">
        <v>22</v>
      </c>
      <c r="C40" s="2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30" t="str">
        <f t="shared" si="8"/>
        <v>238829520 -&gt; 5990070#1 | t=500 | 24/05/2026 18:30</v>
      </c>
      <c r="N40" s="31" t="str">
        <f t="shared" si="9"/>
        <v>3 min 19 s</v>
      </c>
      <c r="O40" s="6">
        <f t="shared" si="10"/>
        <v>27.392400000000002</v>
      </c>
      <c r="P40" s="23">
        <f t="shared" si="11"/>
        <v>1.5065329999999999</v>
      </c>
      <c r="Q40" s="4">
        <f t="shared" si="12"/>
        <v>2.3032407407407407E-3</v>
      </c>
      <c r="R40" s="31" t="str">
        <f t="shared" si="13"/>
        <v/>
      </c>
      <c r="S40" s="7" t="str">
        <f t="shared" si="14"/>
        <v/>
      </c>
      <c r="T40" s="31" t="str">
        <f t="shared" si="15"/>
        <v>Referencia</v>
      </c>
    </row>
    <row r="41" spans="1:23" x14ac:dyDescent="0.3">
      <c r="A41" s="29" t="s">
        <v>13</v>
      </c>
      <c r="B41" s="29" t="s">
        <v>22</v>
      </c>
      <c r="C41" s="2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30" t="str">
        <f t="shared" si="8"/>
        <v>238829520 -&gt; 5990070#1 | t=500 | 24/05/2026 18:30</v>
      </c>
      <c r="N41" s="31" t="str">
        <f t="shared" si="9"/>
        <v>2 min 03 s</v>
      </c>
      <c r="O41" s="6">
        <f t="shared" si="10"/>
        <v>44.517600000000002</v>
      </c>
      <c r="P41" s="23">
        <f t="shared" si="11"/>
        <v>1.5086630000000001</v>
      </c>
      <c r="Q41" s="4">
        <f t="shared" si="12"/>
        <v>2.3032407407407407E-3</v>
      </c>
      <c r="R41" s="31" t="str">
        <f t="shared" si="13"/>
        <v>1 min 16 s</v>
      </c>
      <c r="S41" s="7">
        <f t="shared" si="14"/>
        <v>0.3819095477386934</v>
      </c>
      <c r="T41" s="31" t="str">
        <f t="shared" si="15"/>
        <v>Mejora</v>
      </c>
    </row>
    <row r="42" spans="1:23" x14ac:dyDescent="0.3">
      <c r="A42" s="29" t="s">
        <v>12</v>
      </c>
      <c r="B42" s="29" t="s">
        <v>22</v>
      </c>
      <c r="C42" s="2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30" t="str">
        <f t="shared" si="8"/>
        <v>238829520 -&gt; 5990070#1 | t=500 | 24/05/2026 19:35</v>
      </c>
      <c r="N42" s="31" t="str">
        <f t="shared" si="9"/>
        <v>3 min 19 s</v>
      </c>
      <c r="O42" s="6">
        <f t="shared" si="10"/>
        <v>27.4176</v>
      </c>
      <c r="P42" s="23">
        <f t="shared" si="11"/>
        <v>1.508046</v>
      </c>
      <c r="Q42" s="4">
        <f t="shared" si="12"/>
        <v>2.3032407407407407E-3</v>
      </c>
      <c r="R42" s="31" t="str">
        <f t="shared" si="13"/>
        <v/>
      </c>
      <c r="S42" s="7" t="str">
        <f t="shared" si="14"/>
        <v/>
      </c>
      <c r="T42" s="31" t="str">
        <f t="shared" si="15"/>
        <v>Referencia</v>
      </c>
    </row>
    <row r="43" spans="1:23" x14ac:dyDescent="0.3">
      <c r="A43" s="29" t="s">
        <v>13</v>
      </c>
      <c r="B43" s="29" t="s">
        <v>22</v>
      </c>
      <c r="C43" s="2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30" t="str">
        <f t="shared" si="8"/>
        <v>238829520 -&gt; 5990070#1 | t=500 | 24/05/2026 19:40</v>
      </c>
      <c r="N43" s="31" t="str">
        <f t="shared" si="9"/>
        <v>2 min 13 s</v>
      </c>
      <c r="O43" s="6">
        <f t="shared" si="10"/>
        <v>40.831200000000003</v>
      </c>
      <c r="P43" s="23">
        <f t="shared" si="11"/>
        <v>1.4971859999999999</v>
      </c>
      <c r="Q43" s="4" t="str">
        <f t="shared" si="12"/>
        <v/>
      </c>
      <c r="R43" s="31" t="str">
        <f t="shared" si="13"/>
        <v/>
      </c>
      <c r="S43" s="7" t="str">
        <f t="shared" si="14"/>
        <v/>
      </c>
      <c r="T43" s="31" t="str">
        <f t="shared" si="15"/>
        <v>Sin referencia</v>
      </c>
    </row>
    <row r="44" spans="1:23" x14ac:dyDescent="0.3">
      <c r="A44" s="29" t="s">
        <v>12</v>
      </c>
      <c r="B44" s="29" t="s">
        <v>22</v>
      </c>
      <c r="C44" s="2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30" t="str">
        <f t="shared" si="8"/>
        <v>238829520 -&gt; 5990070#1 | t=1000 | 24/05/2026 20:10</v>
      </c>
      <c r="N44" s="31" t="str">
        <f t="shared" si="9"/>
        <v>6 min 30 s</v>
      </c>
      <c r="O44" s="6">
        <f t="shared" si="10"/>
        <v>13.9392</v>
      </c>
      <c r="P44" s="23">
        <f t="shared" si="11"/>
        <v>1.5063330000000001</v>
      </c>
      <c r="Q44" s="4">
        <f t="shared" si="12"/>
        <v>4.5138888888888885E-3</v>
      </c>
      <c r="R44" s="31" t="str">
        <f t="shared" si="13"/>
        <v/>
      </c>
      <c r="S44" s="7" t="str">
        <f t="shared" si="14"/>
        <v/>
      </c>
      <c r="T44" s="31" t="str">
        <f t="shared" si="15"/>
        <v>Referencia</v>
      </c>
    </row>
    <row r="45" spans="1:23" x14ac:dyDescent="0.3">
      <c r="A45" s="29" t="s">
        <v>13</v>
      </c>
      <c r="B45" s="29" t="s">
        <v>22</v>
      </c>
      <c r="C45" s="2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30" t="str">
        <f t="shared" si="8"/>
        <v>238829520 -&gt; 5990070#1 | t=1000 | 24/05/2026 20:10</v>
      </c>
      <c r="N45" s="31" t="str">
        <f t="shared" si="9"/>
        <v>6 min 28 s</v>
      </c>
      <c r="O45" s="6">
        <f t="shared" si="10"/>
        <v>14.022</v>
      </c>
      <c r="P45" s="23">
        <f t="shared" si="11"/>
        <v>1.5072110000000001</v>
      </c>
      <c r="Q45" s="4">
        <f t="shared" si="12"/>
        <v>4.5138888888888885E-3</v>
      </c>
      <c r="R45" s="31" t="str">
        <f t="shared" si="13"/>
        <v>0 min 02 s</v>
      </c>
      <c r="S45" s="7">
        <f t="shared" si="14"/>
        <v>5.1282051282050978E-3</v>
      </c>
      <c r="T45" s="31" t="str">
        <f t="shared" si="15"/>
        <v>Mejora</v>
      </c>
    </row>
    <row r="46" spans="1:23" x14ac:dyDescent="0.3">
      <c r="A46" s="29" t="s">
        <v>12</v>
      </c>
      <c r="B46" s="29" t="s">
        <v>22</v>
      </c>
      <c r="C46" s="2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30" t="str">
        <f t="shared" si="8"/>
        <v>238829520 -&gt; 5990070#1 | t=2000 | 24/05/2026 20:10</v>
      </c>
      <c r="N46" s="31" t="str">
        <f t="shared" si="9"/>
        <v>3 min 52 s</v>
      </c>
      <c r="O46" s="6">
        <f t="shared" si="10"/>
        <v>23.4756</v>
      </c>
      <c r="P46" s="23">
        <f t="shared" si="11"/>
        <v>1.506254</v>
      </c>
      <c r="Q46" s="4">
        <f t="shared" si="12"/>
        <v>2.685185185185185E-3</v>
      </c>
      <c r="R46" s="31" t="str">
        <f t="shared" si="13"/>
        <v/>
      </c>
      <c r="S46" s="7" t="str">
        <f t="shared" si="14"/>
        <v/>
      </c>
      <c r="T46" s="31" t="str">
        <f t="shared" si="15"/>
        <v>Referencia</v>
      </c>
    </row>
    <row r="47" spans="1:23" x14ac:dyDescent="0.3">
      <c r="A47" s="29" t="s">
        <v>13</v>
      </c>
      <c r="B47" s="29" t="s">
        <v>22</v>
      </c>
      <c r="C47" s="2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30" t="str">
        <f t="shared" si="8"/>
        <v>238829520 -&gt; 5990070#1 | t=2000 | 24/05/2026 20:10</v>
      </c>
      <c r="N47" s="31" t="str">
        <f t="shared" si="9"/>
        <v>2 min 36 s</v>
      </c>
      <c r="O47" s="6">
        <f t="shared" si="10"/>
        <v>34.992000000000004</v>
      </c>
      <c r="P47" s="23">
        <f t="shared" si="11"/>
        <v>1.506634</v>
      </c>
      <c r="Q47" s="4">
        <f t="shared" si="12"/>
        <v>2.685185185185185E-3</v>
      </c>
      <c r="R47" s="31" t="str">
        <f t="shared" si="13"/>
        <v>1 min 16 s</v>
      </c>
      <c r="S47" s="7">
        <f t="shared" si="14"/>
        <v>0.32758620689655171</v>
      </c>
      <c r="T47" s="31" t="str">
        <f t="shared" si="15"/>
        <v>Mejora</v>
      </c>
    </row>
    <row r="48" spans="1:23" x14ac:dyDescent="0.3">
      <c r="A48" s="29" t="s">
        <v>12</v>
      </c>
      <c r="B48" s="29" t="s">
        <v>22</v>
      </c>
      <c r="C48" s="29" t="s">
        <v>24</v>
      </c>
      <c r="D48" s="9">
        <v>500</v>
      </c>
      <c r="E48" s="9">
        <v>704</v>
      </c>
      <c r="F48" s="9">
        <v>204</v>
      </c>
      <c r="G48" s="9">
        <v>0</v>
      </c>
      <c r="H48" s="9">
        <v>7.415</v>
      </c>
      <c r="I48" s="9">
        <v>1505.2249999999999</v>
      </c>
      <c r="J48" s="9">
        <v>0</v>
      </c>
      <c r="K48" s="9" t="b">
        <v>1</v>
      </c>
      <c r="L48" s="10">
        <v>46167.364583333336</v>
      </c>
      <c r="M48" s="30" t="str">
        <f t="shared" si="8"/>
        <v>238829520 -&gt; 5990070#1 | t=500 | 25/05/2026 08:45</v>
      </c>
      <c r="N48" s="31" t="str">
        <f t="shared" si="9"/>
        <v>3 min 24 s</v>
      </c>
      <c r="O48" s="6">
        <f t="shared" si="10"/>
        <v>26.693999999999999</v>
      </c>
      <c r="P48" s="23">
        <f t="shared" si="11"/>
        <v>1.5052249999999998</v>
      </c>
      <c r="Q48" s="4">
        <f t="shared" si="12"/>
        <v>2.3611111111111111E-3</v>
      </c>
      <c r="R48" s="31" t="str">
        <f t="shared" si="13"/>
        <v/>
      </c>
      <c r="S48" s="7" t="str">
        <f t="shared" si="14"/>
        <v/>
      </c>
      <c r="T48" s="31" t="str">
        <f t="shared" si="15"/>
        <v>Referencia</v>
      </c>
      <c r="V48" s="25" t="s">
        <v>44</v>
      </c>
      <c r="W48" s="25" t="s">
        <v>43</v>
      </c>
    </row>
    <row r="49" spans="1:23" x14ac:dyDescent="0.3">
      <c r="A49" s="29" t="s">
        <v>13</v>
      </c>
      <c r="B49" s="29" t="s">
        <v>22</v>
      </c>
      <c r="C49" s="29" t="s">
        <v>24</v>
      </c>
      <c r="D49" s="9">
        <v>500</v>
      </c>
      <c r="E49" s="9">
        <v>633</v>
      </c>
      <c r="F49" s="9">
        <v>133</v>
      </c>
      <c r="G49" s="9">
        <v>0</v>
      </c>
      <c r="H49" s="9">
        <v>11.412000000000001</v>
      </c>
      <c r="I49" s="9">
        <v>1506.3879999999999</v>
      </c>
      <c r="J49" s="9">
        <v>1</v>
      </c>
      <c r="K49" s="9" t="b">
        <v>1</v>
      </c>
      <c r="L49" s="10">
        <v>46167.364583333336</v>
      </c>
      <c r="M49" s="30" t="str">
        <f t="shared" si="8"/>
        <v>238829520 -&gt; 5990070#1 | t=500 | 25/05/2026 08:45</v>
      </c>
      <c r="N49" s="31" t="str">
        <f t="shared" si="9"/>
        <v>2 min 13 s</v>
      </c>
      <c r="O49" s="6">
        <f t="shared" si="10"/>
        <v>41.083200000000005</v>
      </c>
      <c r="P49" s="23">
        <f t="shared" si="11"/>
        <v>1.5063879999999998</v>
      </c>
      <c r="Q49" s="4">
        <f t="shared" si="12"/>
        <v>2.3611111111111111E-3</v>
      </c>
      <c r="R49" s="31" t="str">
        <f t="shared" si="13"/>
        <v>1 min 11 s</v>
      </c>
      <c r="S49" s="7">
        <f t="shared" si="14"/>
        <v>0.34803921568627449</v>
      </c>
      <c r="T49" s="31" t="str">
        <f t="shared" si="15"/>
        <v>Mejora</v>
      </c>
      <c r="V49" s="25"/>
      <c r="W49" s="25"/>
    </row>
    <row r="50" spans="1:23" x14ac:dyDescent="0.3">
      <c r="A50" s="29" t="s">
        <v>12</v>
      </c>
      <c r="B50" s="29" t="s">
        <v>22</v>
      </c>
      <c r="C50" s="29" t="s">
        <v>24</v>
      </c>
      <c r="D50" s="9">
        <v>500</v>
      </c>
      <c r="E50" s="9">
        <v>704</v>
      </c>
      <c r="F50" s="9">
        <v>204</v>
      </c>
      <c r="G50" s="9">
        <v>0</v>
      </c>
      <c r="H50" s="9">
        <v>7.415</v>
      </c>
      <c r="I50" s="9">
        <v>1505.2819999999999</v>
      </c>
      <c r="J50" s="9">
        <v>0</v>
      </c>
      <c r="K50" s="9" t="b">
        <v>1</v>
      </c>
      <c r="L50" s="10">
        <v>46167.46875</v>
      </c>
      <c r="M50" s="30" t="str">
        <f t="shared" si="8"/>
        <v>238829520 -&gt; 5990070#1 | t=500 | 25/05/2026 11:15</v>
      </c>
      <c r="N50" s="31" t="str">
        <f t="shared" si="9"/>
        <v>3 min 24 s</v>
      </c>
      <c r="O50" s="6">
        <f t="shared" si="10"/>
        <v>26.693999999999999</v>
      </c>
      <c r="P50" s="23">
        <f t="shared" si="11"/>
        <v>1.505282</v>
      </c>
      <c r="Q50" s="4">
        <f t="shared" si="12"/>
        <v>2.3611111111111111E-3</v>
      </c>
      <c r="R50" s="31" t="str">
        <f t="shared" si="13"/>
        <v/>
      </c>
      <c r="S50" s="7" t="str">
        <f t="shared" si="14"/>
        <v/>
      </c>
      <c r="T50" s="31" t="str">
        <f t="shared" si="15"/>
        <v>Referencia</v>
      </c>
      <c r="V50" s="25"/>
      <c r="W50" s="25"/>
    </row>
    <row r="51" spans="1:23" x14ac:dyDescent="0.3">
      <c r="A51" s="29" t="s">
        <v>13</v>
      </c>
      <c r="B51" s="29" t="s">
        <v>22</v>
      </c>
      <c r="C51" s="29" t="s">
        <v>24</v>
      </c>
      <c r="D51" s="9">
        <v>500</v>
      </c>
      <c r="E51" s="9">
        <v>668</v>
      </c>
      <c r="F51" s="9">
        <v>168</v>
      </c>
      <c r="G51" s="9">
        <v>0</v>
      </c>
      <c r="H51" s="9">
        <v>9.02</v>
      </c>
      <c r="I51" s="9">
        <v>1506.279</v>
      </c>
      <c r="J51" s="9">
        <v>1</v>
      </c>
      <c r="K51" s="9" t="b">
        <v>1</v>
      </c>
      <c r="L51" s="10">
        <v>46167.46875</v>
      </c>
      <c r="M51" s="30" t="str">
        <f t="shared" si="8"/>
        <v>238829520 -&gt; 5990070#1 | t=500 | 25/05/2026 11:15</v>
      </c>
      <c r="N51" s="31" t="str">
        <f t="shared" si="9"/>
        <v>2 min 48 s</v>
      </c>
      <c r="O51" s="6">
        <f t="shared" si="10"/>
        <v>32.472000000000001</v>
      </c>
      <c r="P51" s="23">
        <f t="shared" si="11"/>
        <v>1.5062789999999999</v>
      </c>
      <c r="Q51" s="4">
        <f t="shared" si="12"/>
        <v>2.3611111111111111E-3</v>
      </c>
      <c r="R51" s="31" t="str">
        <f t="shared" si="13"/>
        <v>0 min 36 s</v>
      </c>
      <c r="S51" s="7">
        <f t="shared" si="14"/>
        <v>0.17647058823529416</v>
      </c>
      <c r="T51" s="31" t="str">
        <f t="shared" si="15"/>
        <v>Mejora</v>
      </c>
      <c r="V51" s="25"/>
      <c r="W51" s="25"/>
    </row>
    <row r="52" spans="1:23" x14ac:dyDescent="0.3">
      <c r="A52" s="29" t="s">
        <v>12</v>
      </c>
      <c r="B52" s="29" t="s">
        <v>22</v>
      </c>
      <c r="C52" s="29" t="s">
        <v>24</v>
      </c>
      <c r="D52" s="9">
        <v>500</v>
      </c>
      <c r="E52" s="9">
        <v>701</v>
      </c>
      <c r="F52" s="9">
        <v>201</v>
      </c>
      <c r="G52" s="9">
        <v>0</v>
      </c>
      <c r="H52" s="9">
        <v>7.5449999999999999</v>
      </c>
      <c r="I52" s="9">
        <v>1509.0619999999999</v>
      </c>
      <c r="J52" s="9">
        <v>0</v>
      </c>
      <c r="K52" s="9" t="b">
        <v>1</v>
      </c>
      <c r="L52" s="10">
        <v>46167.506944444445</v>
      </c>
      <c r="M52" s="30" t="str">
        <f t="shared" si="8"/>
        <v>238829520 -&gt; 5990070#1 | t=500 | 25/05/2026 12:10</v>
      </c>
      <c r="N52" s="31" t="str">
        <f t="shared" si="9"/>
        <v>3 min 21 s</v>
      </c>
      <c r="O52" s="6">
        <f t="shared" si="10"/>
        <v>27.161999999999999</v>
      </c>
      <c r="P52" s="23">
        <f t="shared" si="11"/>
        <v>1.5090619999999999</v>
      </c>
      <c r="Q52" s="4">
        <f t="shared" si="12"/>
        <v>2.3263888888888887E-3</v>
      </c>
      <c r="R52" s="31" t="str">
        <f t="shared" si="13"/>
        <v/>
      </c>
      <c r="S52" s="7" t="str">
        <f t="shared" si="14"/>
        <v/>
      </c>
      <c r="T52" s="31" t="str">
        <f t="shared" si="15"/>
        <v>Referencia</v>
      </c>
      <c r="V52" s="25"/>
      <c r="W52" s="25"/>
    </row>
    <row r="53" spans="1:23" x14ac:dyDescent="0.3">
      <c r="A53" s="29" t="s">
        <v>13</v>
      </c>
      <c r="B53" s="29" t="s">
        <v>22</v>
      </c>
      <c r="C53" s="29" t="s">
        <v>24</v>
      </c>
      <c r="D53" s="9">
        <v>500</v>
      </c>
      <c r="E53" s="9">
        <v>629</v>
      </c>
      <c r="F53" s="9">
        <v>129</v>
      </c>
      <c r="G53" s="9">
        <v>0</v>
      </c>
      <c r="H53" s="9">
        <v>11.784000000000001</v>
      </c>
      <c r="I53" s="9">
        <v>1508.3810000000001</v>
      </c>
      <c r="J53" s="9">
        <v>3</v>
      </c>
      <c r="K53" s="9" t="b">
        <v>1</v>
      </c>
      <c r="L53" s="10">
        <v>46167.506944444445</v>
      </c>
      <c r="M53" s="30" t="str">
        <f t="shared" si="8"/>
        <v>238829520 -&gt; 5990070#1 | t=500 | 25/05/2026 12:10</v>
      </c>
      <c r="N53" s="31" t="str">
        <f t="shared" si="9"/>
        <v>2 min 09 s</v>
      </c>
      <c r="O53" s="6">
        <f t="shared" si="10"/>
        <v>42.422400000000003</v>
      </c>
      <c r="P53" s="23">
        <f t="shared" si="11"/>
        <v>1.5083810000000002</v>
      </c>
      <c r="Q53" s="4">
        <f t="shared" si="12"/>
        <v>2.3263888888888887E-3</v>
      </c>
      <c r="R53" s="31" t="str">
        <f t="shared" si="13"/>
        <v>1 min 12 s</v>
      </c>
      <c r="S53" s="7">
        <f t="shared" si="14"/>
        <v>0.35820895522388052</v>
      </c>
      <c r="T53" s="31" t="str">
        <f t="shared" si="15"/>
        <v>Mejora</v>
      </c>
      <c r="V53" s="25"/>
      <c r="W53" s="25"/>
    </row>
    <row r="54" spans="1:23" x14ac:dyDescent="0.3">
      <c r="A54" s="29" t="s">
        <v>12</v>
      </c>
      <c r="B54" s="29" t="s">
        <v>22</v>
      </c>
      <c r="C54" s="29" t="s">
        <v>24</v>
      </c>
      <c r="D54" s="9">
        <v>500</v>
      </c>
      <c r="E54" s="9">
        <v>701</v>
      </c>
      <c r="F54" s="9">
        <v>201</v>
      </c>
      <c r="G54" s="9">
        <v>0</v>
      </c>
      <c r="H54" s="9">
        <v>7.55</v>
      </c>
      <c r="I54" s="9">
        <v>1510.069</v>
      </c>
      <c r="J54" s="9">
        <v>0</v>
      </c>
      <c r="K54" s="9" t="b">
        <v>1</v>
      </c>
      <c r="L54" s="10">
        <v>46167.541666666664</v>
      </c>
      <c r="M54" s="30" t="str">
        <f t="shared" si="8"/>
        <v>238829520 -&gt; 5990070#1 | t=500 | 25/05/2026 13:00</v>
      </c>
      <c r="N54" s="31" t="str">
        <f t="shared" si="9"/>
        <v>3 min 21 s</v>
      </c>
      <c r="O54" s="6">
        <f t="shared" si="10"/>
        <v>27.18</v>
      </c>
      <c r="P54" s="23">
        <f t="shared" si="11"/>
        <v>1.5100689999999999</v>
      </c>
      <c r="Q54" s="4">
        <f t="shared" si="12"/>
        <v>2.3263888888888887E-3</v>
      </c>
      <c r="R54" s="31" t="str">
        <f t="shared" si="13"/>
        <v/>
      </c>
      <c r="S54" s="7" t="str">
        <f t="shared" si="14"/>
        <v/>
      </c>
      <c r="T54" s="31" t="str">
        <f t="shared" si="15"/>
        <v>Referencia</v>
      </c>
      <c r="V54" s="25"/>
      <c r="W54" s="25"/>
    </row>
    <row r="55" spans="1:23" x14ac:dyDescent="0.3">
      <c r="A55" s="29" t="s">
        <v>13</v>
      </c>
      <c r="B55" s="29" t="s">
        <v>22</v>
      </c>
      <c r="C55" s="29" t="s">
        <v>24</v>
      </c>
      <c r="D55" s="9">
        <v>500</v>
      </c>
      <c r="E55" s="9">
        <v>645</v>
      </c>
      <c r="F55" s="9">
        <v>145</v>
      </c>
      <c r="G55" s="9">
        <v>0</v>
      </c>
      <c r="H55" s="9">
        <v>10.467000000000001</v>
      </c>
      <c r="I55" s="9">
        <v>1507.269</v>
      </c>
      <c r="J55" s="9">
        <v>2</v>
      </c>
      <c r="K55" s="9" t="b">
        <v>1</v>
      </c>
      <c r="L55" s="10">
        <v>46167.541666666664</v>
      </c>
      <c r="M55" s="30" t="str">
        <f t="shared" si="8"/>
        <v>238829520 -&gt; 5990070#1 | t=500 | 25/05/2026 13:00</v>
      </c>
      <c r="N55" s="31" t="str">
        <f t="shared" si="9"/>
        <v>2 min 25 s</v>
      </c>
      <c r="O55" s="6">
        <f t="shared" si="10"/>
        <v>37.681200000000004</v>
      </c>
      <c r="P55" s="23">
        <f t="shared" si="11"/>
        <v>1.507269</v>
      </c>
      <c r="Q55" s="4">
        <f t="shared" si="12"/>
        <v>2.3263888888888887E-3</v>
      </c>
      <c r="R55" s="31" t="str">
        <f t="shared" si="13"/>
        <v>0 min 56 s</v>
      </c>
      <c r="S55" s="7">
        <f t="shared" si="14"/>
        <v>0.27860696517412925</v>
      </c>
      <c r="T55" s="31" t="str">
        <f t="shared" si="15"/>
        <v>Mejora</v>
      </c>
      <c r="V55" s="25"/>
      <c r="W55" s="25"/>
    </row>
    <row r="56" spans="1:23" x14ac:dyDescent="0.3">
      <c r="A56" s="29" t="s">
        <v>12</v>
      </c>
      <c r="B56" s="29" t="s">
        <v>22</v>
      </c>
      <c r="C56" s="29" t="s">
        <v>24</v>
      </c>
      <c r="D56" s="9">
        <v>500</v>
      </c>
      <c r="E56" s="9">
        <v>705</v>
      </c>
      <c r="F56" s="9">
        <v>205</v>
      </c>
      <c r="G56" s="9">
        <v>0</v>
      </c>
      <c r="H56" s="9">
        <v>7.375</v>
      </c>
      <c r="I56" s="9">
        <v>1504.5219999999999</v>
      </c>
      <c r="J56" s="9">
        <v>0</v>
      </c>
      <c r="K56" s="9" t="b">
        <v>1</v>
      </c>
      <c r="L56" s="10">
        <v>46167.559027777781</v>
      </c>
      <c r="M56" s="30" t="str">
        <f t="shared" si="8"/>
        <v>238829520 -&gt; 5990070#1 | t=500 | 25/05/2026 13:25</v>
      </c>
      <c r="N56" s="31" t="str">
        <f t="shared" si="9"/>
        <v>3 min 25 s</v>
      </c>
      <c r="O56" s="6">
        <f t="shared" si="10"/>
        <v>26.55</v>
      </c>
      <c r="P56" s="23">
        <f t="shared" si="11"/>
        <v>1.5045219999999999</v>
      </c>
      <c r="Q56" s="4">
        <f t="shared" si="12"/>
        <v>2.3726851851851851E-3</v>
      </c>
      <c r="R56" s="31" t="str">
        <f t="shared" si="13"/>
        <v/>
      </c>
      <c r="S56" s="7" t="str">
        <f t="shared" si="14"/>
        <v/>
      </c>
      <c r="T56" s="31" t="str">
        <f t="shared" si="15"/>
        <v>Referencia</v>
      </c>
      <c r="V56" s="25"/>
      <c r="W56" s="25"/>
    </row>
    <row r="57" spans="1:23" x14ac:dyDescent="0.3">
      <c r="A57" s="29" t="s">
        <v>13</v>
      </c>
      <c r="B57" s="29" t="s">
        <v>22</v>
      </c>
      <c r="C57" s="29" t="s">
        <v>24</v>
      </c>
      <c r="D57" s="9">
        <v>500</v>
      </c>
      <c r="E57" s="9">
        <v>632</v>
      </c>
      <c r="F57" s="9">
        <v>132</v>
      </c>
      <c r="G57" s="9">
        <v>0</v>
      </c>
      <c r="H57" s="9">
        <v>11.454000000000001</v>
      </c>
      <c r="I57" s="9">
        <v>1500.5239999999999</v>
      </c>
      <c r="J57" s="9">
        <v>1</v>
      </c>
      <c r="K57" s="9" t="b">
        <v>1</v>
      </c>
      <c r="L57" s="10">
        <v>46167.559027777781</v>
      </c>
      <c r="M57" s="30" t="str">
        <f t="shared" si="8"/>
        <v>238829520 -&gt; 5990070#1 | t=500 | 25/05/2026 13:25</v>
      </c>
      <c r="N57" s="31" t="str">
        <f t="shared" si="9"/>
        <v>2 min 12 s</v>
      </c>
      <c r="O57" s="6">
        <f t="shared" si="10"/>
        <v>41.234400000000001</v>
      </c>
      <c r="P57" s="23">
        <f t="shared" si="11"/>
        <v>1.500524</v>
      </c>
      <c r="Q57" s="4">
        <f t="shared" si="12"/>
        <v>2.3726851851851851E-3</v>
      </c>
      <c r="R57" s="31" t="str">
        <f t="shared" si="13"/>
        <v>1 min 13 s</v>
      </c>
      <c r="S57" s="7">
        <f t="shared" si="14"/>
        <v>0.35609756097560968</v>
      </c>
      <c r="T57" s="31" t="str">
        <f t="shared" si="15"/>
        <v>Mejora</v>
      </c>
      <c r="V57" s="25"/>
      <c r="W57" s="25"/>
    </row>
    <row r="58" spans="1:23" x14ac:dyDescent="0.3">
      <c r="A58" s="29" t="s">
        <v>12</v>
      </c>
      <c r="B58" s="29" t="s">
        <v>22</v>
      </c>
      <c r="C58" s="29" t="s">
        <v>24</v>
      </c>
      <c r="D58" s="9">
        <v>500</v>
      </c>
      <c r="E58" s="9">
        <v>700</v>
      </c>
      <c r="F58" s="9">
        <v>200</v>
      </c>
      <c r="G58" s="9">
        <v>0</v>
      </c>
      <c r="H58" s="9">
        <v>7.5709999999999997</v>
      </c>
      <c r="I58" s="9">
        <v>1506.703</v>
      </c>
      <c r="J58" s="9">
        <v>0</v>
      </c>
      <c r="K58" s="9" t="b">
        <v>1</v>
      </c>
      <c r="L58" s="10">
        <v>46167.583333333336</v>
      </c>
      <c r="M58" s="30" t="str">
        <f t="shared" si="8"/>
        <v>238829520 -&gt; 5990070#1 | t=500 | 25/05/2026 14:00</v>
      </c>
      <c r="N58" s="31" t="str">
        <f t="shared" si="9"/>
        <v>3 min 20 s</v>
      </c>
      <c r="O58" s="6">
        <f t="shared" si="10"/>
        <v>27.255600000000001</v>
      </c>
      <c r="P58" s="23">
        <f t="shared" si="11"/>
        <v>1.5067029999999999</v>
      </c>
      <c r="Q58" s="4">
        <f t="shared" si="12"/>
        <v>2.3148148148148147E-3</v>
      </c>
      <c r="R58" s="31" t="str">
        <f t="shared" si="13"/>
        <v/>
      </c>
      <c r="S58" s="7" t="str">
        <f t="shared" si="14"/>
        <v/>
      </c>
      <c r="T58" s="31" t="str">
        <f t="shared" si="15"/>
        <v>Referencia</v>
      </c>
      <c r="V58" s="25"/>
      <c r="W58" s="25"/>
    </row>
    <row r="59" spans="1:23" x14ac:dyDescent="0.3">
      <c r="A59" s="29" t="s">
        <v>13</v>
      </c>
      <c r="B59" s="29" t="s">
        <v>22</v>
      </c>
      <c r="C59" s="29" t="s">
        <v>24</v>
      </c>
      <c r="D59" s="9">
        <v>500</v>
      </c>
      <c r="E59" s="9">
        <v>700</v>
      </c>
      <c r="F59" s="9">
        <v>200</v>
      </c>
      <c r="G59" s="9">
        <v>0</v>
      </c>
      <c r="H59" s="9">
        <v>9.6940000000000008</v>
      </c>
      <c r="I59" s="9">
        <v>1497.2080000000001</v>
      </c>
      <c r="J59" s="9">
        <v>0</v>
      </c>
      <c r="K59" s="9" t="b">
        <v>1</v>
      </c>
      <c r="L59" s="10">
        <v>46167.583333333336</v>
      </c>
      <c r="M59" s="30" t="str">
        <f t="shared" si="8"/>
        <v>238829520 -&gt; 5990070#1 | t=500 | 25/05/2026 14:00</v>
      </c>
      <c r="N59" s="31" t="str">
        <f t="shared" si="9"/>
        <v>3 min 20 s</v>
      </c>
      <c r="O59" s="6">
        <f t="shared" si="10"/>
        <v>34.898400000000002</v>
      </c>
      <c r="P59" s="23">
        <f t="shared" si="11"/>
        <v>1.4972080000000001</v>
      </c>
      <c r="Q59" s="4">
        <f t="shared" si="12"/>
        <v>2.3148148148148147E-3</v>
      </c>
      <c r="R59" s="31" t="str">
        <f t="shared" si="13"/>
        <v>0 min 00 s</v>
      </c>
      <c r="S59" s="7">
        <f t="shared" si="14"/>
        <v>0</v>
      </c>
      <c r="T59" s="31" t="str">
        <f t="shared" si="15"/>
        <v>Igual</v>
      </c>
      <c r="V59" s="25"/>
      <c r="W59" s="25"/>
    </row>
    <row r="60" spans="1:23" x14ac:dyDescent="0.3">
      <c r="A60" s="29" t="s">
        <v>12</v>
      </c>
      <c r="B60" s="29" t="s">
        <v>22</v>
      </c>
      <c r="C60" s="2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7.593</v>
      </c>
      <c r="I60" s="9">
        <v>1510.941</v>
      </c>
      <c r="J60" s="9">
        <v>0</v>
      </c>
      <c r="K60" s="9" t="b">
        <v>1</v>
      </c>
      <c r="L60" s="10">
        <v>46167.725694444445</v>
      </c>
      <c r="M60" s="30" t="str">
        <f t="shared" si="8"/>
        <v>238829520 -&gt; 5990070#1 | t=500 | 25/05/2026 17:25</v>
      </c>
      <c r="N60" s="31" t="str">
        <f t="shared" si="9"/>
        <v>3 min 20 s</v>
      </c>
      <c r="O60" s="6">
        <f t="shared" si="10"/>
        <v>27.334800000000001</v>
      </c>
      <c r="P60" s="23">
        <f t="shared" si="11"/>
        <v>1.5109410000000001</v>
      </c>
      <c r="Q60" s="4">
        <f t="shared" si="12"/>
        <v>2.3148148148148147E-3</v>
      </c>
      <c r="R60" s="31" t="str">
        <f t="shared" si="13"/>
        <v/>
      </c>
      <c r="S60" s="7" t="str">
        <f t="shared" si="14"/>
        <v/>
      </c>
      <c r="T60" s="31" t="str">
        <f t="shared" si="15"/>
        <v>Referencia</v>
      </c>
      <c r="V60" s="25"/>
      <c r="W60" s="25"/>
    </row>
    <row r="61" spans="1:23" x14ac:dyDescent="0.3">
      <c r="A61" s="29" t="s">
        <v>13</v>
      </c>
      <c r="B61" s="29" t="s">
        <v>22</v>
      </c>
      <c r="C61" s="29" t="s">
        <v>24</v>
      </c>
      <c r="D61" s="9">
        <v>500</v>
      </c>
      <c r="E61" s="9">
        <v>651</v>
      </c>
      <c r="F61" s="9">
        <v>151</v>
      </c>
      <c r="G61" s="9">
        <v>0</v>
      </c>
      <c r="H61" s="9">
        <v>10.052</v>
      </c>
      <c r="I61" s="9">
        <v>1507.8689999999999</v>
      </c>
      <c r="J61" s="9">
        <v>3</v>
      </c>
      <c r="K61" s="9" t="b">
        <v>1</v>
      </c>
      <c r="L61" s="10">
        <v>46167.725694444445</v>
      </c>
      <c r="M61" s="30" t="str">
        <f t="shared" si="8"/>
        <v>238829520 -&gt; 5990070#1 | t=500 | 25/05/2026 17:25</v>
      </c>
      <c r="N61" s="31" t="str">
        <f t="shared" si="9"/>
        <v>2 min 31 s</v>
      </c>
      <c r="O61" s="6">
        <f t="shared" si="10"/>
        <v>36.187199999999997</v>
      </c>
      <c r="P61" s="23">
        <f t="shared" si="11"/>
        <v>1.5078689999999999</v>
      </c>
      <c r="Q61" s="4">
        <f t="shared" si="12"/>
        <v>2.3148148148148147E-3</v>
      </c>
      <c r="R61" s="31" t="str">
        <f t="shared" si="13"/>
        <v>0 min 49 s</v>
      </c>
      <c r="S61" s="7">
        <f t="shared" si="14"/>
        <v>0.24499999999999994</v>
      </c>
      <c r="T61" s="31" t="str">
        <f t="shared" si="15"/>
        <v>Mejora</v>
      </c>
      <c r="V61" s="25"/>
      <c r="W61" s="25"/>
    </row>
    <row r="62" spans="1:23" x14ac:dyDescent="0.3">
      <c r="A62" s="29" t="s">
        <v>12</v>
      </c>
      <c r="B62" s="29" t="s">
        <v>22</v>
      </c>
      <c r="C62" s="29" t="s">
        <v>24</v>
      </c>
      <c r="D62" s="9">
        <v>500</v>
      </c>
      <c r="E62" s="9">
        <v>699</v>
      </c>
      <c r="F62" s="9">
        <v>199</v>
      </c>
      <c r="G62" s="9">
        <v>0</v>
      </c>
      <c r="H62" s="9">
        <v>7.6210000000000004</v>
      </c>
      <c r="I62" s="9">
        <v>1508.885</v>
      </c>
      <c r="J62" s="9">
        <v>0</v>
      </c>
      <c r="K62" s="9" t="b">
        <v>1</v>
      </c>
      <c r="L62" s="10">
        <v>46167.753472222219</v>
      </c>
      <c r="M62" s="30" t="str">
        <f t="shared" si="8"/>
        <v>238829520 -&gt; 5990070#1 | t=500 | 25/05/2026 18:05</v>
      </c>
      <c r="N62" s="31" t="str">
        <f t="shared" si="9"/>
        <v>3 min 19 s</v>
      </c>
      <c r="O62" s="6">
        <f t="shared" si="10"/>
        <v>27.435600000000001</v>
      </c>
      <c r="P62" s="23">
        <f t="shared" si="11"/>
        <v>1.508885</v>
      </c>
      <c r="Q62" s="4">
        <f t="shared" si="12"/>
        <v>2.3032407407407407E-3</v>
      </c>
      <c r="R62" s="31" t="str">
        <f t="shared" si="13"/>
        <v/>
      </c>
      <c r="S62" s="7" t="str">
        <f t="shared" si="14"/>
        <v/>
      </c>
      <c r="T62" s="31" t="str">
        <f t="shared" si="15"/>
        <v>Referencia</v>
      </c>
      <c r="V62" s="25"/>
      <c r="W62" s="25"/>
    </row>
    <row r="63" spans="1:23" x14ac:dyDescent="0.3">
      <c r="A63" s="29" t="s">
        <v>13</v>
      </c>
      <c r="B63" s="29" t="s">
        <v>22</v>
      </c>
      <c r="C63" s="29" t="s">
        <v>24</v>
      </c>
      <c r="D63" s="9">
        <v>500</v>
      </c>
      <c r="E63" s="9">
        <v>628</v>
      </c>
      <c r="F63" s="9">
        <v>128</v>
      </c>
      <c r="G63" s="9">
        <v>0</v>
      </c>
      <c r="H63" s="9">
        <v>11.885999999999999</v>
      </c>
      <c r="I63" s="9">
        <v>1509.575</v>
      </c>
      <c r="J63" s="9">
        <v>1</v>
      </c>
      <c r="K63" s="9" t="b">
        <v>1</v>
      </c>
      <c r="L63" s="10">
        <v>46167.753472222219</v>
      </c>
      <c r="M63" s="30" t="str">
        <f t="shared" si="8"/>
        <v>238829520 -&gt; 5990070#1 | t=500 | 25/05/2026 18:05</v>
      </c>
      <c r="N63" s="31" t="str">
        <f t="shared" si="9"/>
        <v>2 min 08 s</v>
      </c>
      <c r="O63" s="6">
        <f t="shared" si="10"/>
        <v>42.7896</v>
      </c>
      <c r="P63" s="23">
        <f t="shared" si="11"/>
        <v>1.5095750000000001</v>
      </c>
      <c r="Q63" s="4">
        <f t="shared" si="12"/>
        <v>2.3032407407407407E-3</v>
      </c>
      <c r="R63" s="31" t="str">
        <f t="shared" si="13"/>
        <v>1 min 11 s</v>
      </c>
      <c r="S63" s="7">
        <f t="shared" si="14"/>
        <v>0.35678391959798994</v>
      </c>
      <c r="T63" s="31" t="str">
        <f t="shared" si="15"/>
        <v>Mejora</v>
      </c>
      <c r="V63" s="25"/>
      <c r="W63" s="25"/>
    </row>
    <row r="64" spans="1:23" x14ac:dyDescent="0.3">
      <c r="A64" s="29" t="s">
        <v>12</v>
      </c>
      <c r="B64" s="29" t="s">
        <v>22</v>
      </c>
      <c r="C64" s="29" t="s">
        <v>24</v>
      </c>
      <c r="D64" s="9">
        <v>500</v>
      </c>
      <c r="E64" s="9">
        <v>720</v>
      </c>
      <c r="F64" s="9">
        <v>220</v>
      </c>
      <c r="G64" s="9">
        <v>0</v>
      </c>
      <c r="H64" s="9">
        <v>6.8680000000000003</v>
      </c>
      <c r="I64" s="9">
        <v>1504.0139999999999</v>
      </c>
      <c r="J64" s="9">
        <v>0</v>
      </c>
      <c r="K64" s="9" t="b">
        <v>1</v>
      </c>
      <c r="L64" s="10">
        <v>46167.760416666664</v>
      </c>
      <c r="M64" s="30" t="str">
        <f t="shared" si="8"/>
        <v>238829520 -&gt; 5990070#1 | t=500 | 25/05/2026 18:15</v>
      </c>
      <c r="N64" s="31" t="str">
        <f t="shared" si="9"/>
        <v>3 min 40 s</v>
      </c>
      <c r="O64" s="6">
        <f t="shared" si="10"/>
        <v>24.724800000000002</v>
      </c>
      <c r="P64" s="23">
        <f t="shared" si="11"/>
        <v>1.504014</v>
      </c>
      <c r="Q64" s="4">
        <f t="shared" si="12"/>
        <v>2.5462962962962965E-3</v>
      </c>
      <c r="R64" s="31" t="str">
        <f t="shared" si="13"/>
        <v/>
      </c>
      <c r="S64" s="7" t="str">
        <f t="shared" si="14"/>
        <v/>
      </c>
      <c r="T64" s="31" t="str">
        <f t="shared" si="15"/>
        <v>Referencia</v>
      </c>
      <c r="V64" s="25"/>
      <c r="W64" s="25"/>
    </row>
    <row r="65" spans="1:23" x14ac:dyDescent="0.3">
      <c r="A65" s="29" t="s">
        <v>13</v>
      </c>
      <c r="B65" s="29" t="s">
        <v>22</v>
      </c>
      <c r="C65" s="29" t="s">
        <v>24</v>
      </c>
      <c r="D65" s="9">
        <v>500</v>
      </c>
      <c r="E65" s="9">
        <v>630</v>
      </c>
      <c r="F65" s="9">
        <v>130</v>
      </c>
      <c r="G65" s="9">
        <v>0</v>
      </c>
      <c r="H65" s="9">
        <v>11.673</v>
      </c>
      <c r="I65" s="9">
        <v>1505.8430000000001</v>
      </c>
      <c r="J65" s="9">
        <v>1</v>
      </c>
      <c r="K65" s="9" t="b">
        <v>1</v>
      </c>
      <c r="L65" s="10">
        <v>46167.760416666664</v>
      </c>
      <c r="M65" s="30" t="str">
        <f t="shared" si="8"/>
        <v>238829520 -&gt; 5990070#1 | t=500 | 25/05/2026 18:15</v>
      </c>
      <c r="N65" s="31" t="str">
        <f t="shared" si="9"/>
        <v>2 min 10 s</v>
      </c>
      <c r="O65" s="6">
        <f t="shared" si="10"/>
        <v>42.022800000000004</v>
      </c>
      <c r="P65" s="23">
        <f t="shared" si="11"/>
        <v>1.505843</v>
      </c>
      <c r="Q65" s="4">
        <f t="shared" si="12"/>
        <v>2.5462962962962965E-3</v>
      </c>
      <c r="R65" s="31" t="str">
        <f t="shared" si="13"/>
        <v>1 min 30 s</v>
      </c>
      <c r="S65" s="7">
        <f t="shared" si="14"/>
        <v>0.40909090909090912</v>
      </c>
      <c r="T65" s="31" t="str">
        <f t="shared" si="15"/>
        <v>Mejora</v>
      </c>
      <c r="V65" s="25"/>
      <c r="W65" s="25"/>
    </row>
    <row r="66" spans="1:23" x14ac:dyDescent="0.3">
      <c r="A66" s="29" t="s">
        <v>12</v>
      </c>
      <c r="B66" s="29" t="s">
        <v>22</v>
      </c>
      <c r="C66" s="29" t="s">
        <v>24</v>
      </c>
      <c r="D66" s="9">
        <v>500</v>
      </c>
      <c r="E66" s="9">
        <v>700</v>
      </c>
      <c r="F66" s="9">
        <v>200</v>
      </c>
      <c r="G66" s="9">
        <v>0</v>
      </c>
      <c r="H66" s="9">
        <v>7.5449999999999999</v>
      </c>
      <c r="I66" s="9">
        <v>1501.4349999999999</v>
      </c>
      <c r="J66" s="9">
        <v>0</v>
      </c>
      <c r="K66" s="9" t="b">
        <v>1</v>
      </c>
      <c r="L66" s="10">
        <v>46167.763888888891</v>
      </c>
      <c r="M66" s="30" t="str">
        <f t="shared" ref="M66:M97" si="16">B66&amp;" -&gt; "&amp;C66&amp;" | t="&amp;D66&amp;" | "&amp;TEXT(L66,"dd/mm/aaaa hh:mm")</f>
        <v>238829520 -&gt; 5990070#1 | t=500 | 25/05/2026 18:20</v>
      </c>
      <c r="N66" s="31" t="str">
        <f t="shared" ref="N66:N97" si="17">IF(F66="","",INT(F66/60)&amp;" min "&amp;TEXT(MOD(F66,60),"00")&amp;" s")</f>
        <v>3 min 20 s</v>
      </c>
      <c r="O66" s="6">
        <f t="shared" ref="O66:O97" si="18">IF(H66="","",H66*3.6)</f>
        <v>27.161999999999999</v>
      </c>
      <c r="P66" s="23">
        <f t="shared" ref="P66:P97" si="19">IF(I66="","",I66/1000)</f>
        <v>1.5014349999999999</v>
      </c>
      <c r="Q66" s="4">
        <f t="shared" ref="Q66:Q97" si="20">IFERROR(AVERAGEIFS($F:$F,$A:$A,"base",$B:$B,B66,$C:$C,C66,$D:$D,D66,$K:$K,TRUE,$L:$L,L66)/86400,"")</f>
        <v>2.3148148148148147E-3</v>
      </c>
      <c r="R66" s="31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7" si="22">IF(OR(A66&lt;&gt;"inteligente",K66&lt;&gt;TRUE,Q66=""),"",(Q66-F66/86400)/Q66)</f>
        <v/>
      </c>
      <c r="T66" s="31" t="str">
        <f t="shared" ref="T66:T97" si="23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29" t="s">
        <v>13</v>
      </c>
      <c r="B67" s="29" t="s">
        <v>22</v>
      </c>
      <c r="C67" s="29" t="s">
        <v>24</v>
      </c>
      <c r="D67" s="9">
        <v>500</v>
      </c>
      <c r="E67" s="9">
        <v>630</v>
      </c>
      <c r="F67" s="9">
        <v>130</v>
      </c>
      <c r="G67" s="9">
        <v>0</v>
      </c>
      <c r="H67" s="9">
        <v>11.673</v>
      </c>
      <c r="I67" s="9">
        <v>1505.8430000000001</v>
      </c>
      <c r="J67" s="9">
        <v>1</v>
      </c>
      <c r="K67" s="9" t="b">
        <v>1</v>
      </c>
      <c r="L67" s="10">
        <v>46167.763888888891</v>
      </c>
      <c r="M67" s="30" t="str">
        <f t="shared" si="16"/>
        <v>238829520 -&gt; 5990070#1 | t=500 | 25/05/2026 18:20</v>
      </c>
      <c r="N67" s="31" t="str">
        <f t="shared" si="17"/>
        <v>2 min 10 s</v>
      </c>
      <c r="O67" s="6">
        <f t="shared" si="18"/>
        <v>42.022800000000004</v>
      </c>
      <c r="P67" s="23">
        <f t="shared" si="19"/>
        <v>1.505843</v>
      </c>
      <c r="Q67" s="4">
        <f t="shared" si="20"/>
        <v>2.3148148148148147E-3</v>
      </c>
      <c r="R67" s="31" t="str">
        <f t="shared" si="21"/>
        <v>1 min 10 s</v>
      </c>
      <c r="S67" s="7">
        <f t="shared" si="22"/>
        <v>0.35</v>
      </c>
      <c r="T67" s="31" t="str">
        <f t="shared" si="23"/>
        <v>Mejora</v>
      </c>
      <c r="V67" s="25"/>
      <c r="W67" s="25"/>
    </row>
    <row r="68" spans="1:23" x14ac:dyDescent="0.3">
      <c r="A68" s="29" t="s">
        <v>12</v>
      </c>
      <c r="B68" s="29" t="s">
        <v>22</v>
      </c>
      <c r="C68" s="29" t="s">
        <v>24</v>
      </c>
      <c r="D68" s="9">
        <v>500</v>
      </c>
      <c r="E68" s="9">
        <v>704</v>
      </c>
      <c r="F68" s="9">
        <v>204</v>
      </c>
      <c r="G68" s="9">
        <v>0</v>
      </c>
      <c r="H68" s="9">
        <v>7.4349999999999996</v>
      </c>
      <c r="I68" s="9">
        <v>1509.373</v>
      </c>
      <c r="J68" s="9">
        <v>0</v>
      </c>
      <c r="K68" s="9" t="b">
        <v>1</v>
      </c>
      <c r="L68" s="10">
        <v>46167.767361111109</v>
      </c>
      <c r="M68" s="30" t="str">
        <f t="shared" si="16"/>
        <v>238829520 -&gt; 5990070#1 | t=500 | 25/05/2026 18:25</v>
      </c>
      <c r="N68" s="31" t="str">
        <f t="shared" si="17"/>
        <v>3 min 24 s</v>
      </c>
      <c r="O68" s="6">
        <f t="shared" si="18"/>
        <v>26.765999999999998</v>
      </c>
      <c r="P68" s="23">
        <f t="shared" si="19"/>
        <v>1.5093730000000001</v>
      </c>
      <c r="Q68" s="4">
        <f t="shared" si="20"/>
        <v>2.3611111111111111E-3</v>
      </c>
      <c r="R68" s="31" t="str">
        <f t="shared" si="21"/>
        <v/>
      </c>
      <c r="S68" s="7" t="str">
        <f t="shared" si="22"/>
        <v/>
      </c>
      <c r="T68" s="31" t="str">
        <f t="shared" si="23"/>
        <v>Referencia</v>
      </c>
      <c r="V68" s="25"/>
      <c r="W68" s="25"/>
    </row>
    <row r="69" spans="1:23" x14ac:dyDescent="0.3">
      <c r="A69" s="29" t="s">
        <v>13</v>
      </c>
      <c r="B69" s="29" t="s">
        <v>22</v>
      </c>
      <c r="C69" s="29" t="s">
        <v>24</v>
      </c>
      <c r="D69" s="9">
        <v>500</v>
      </c>
      <c r="E69" s="9">
        <v>636</v>
      </c>
      <c r="F69" s="9">
        <v>136</v>
      </c>
      <c r="G69" s="9">
        <v>0</v>
      </c>
      <c r="H69" s="9">
        <v>11.185</v>
      </c>
      <c r="I69" s="9">
        <v>1509.9110000000001</v>
      </c>
      <c r="J69" s="9">
        <v>1</v>
      </c>
      <c r="K69" s="9" t="b">
        <v>1</v>
      </c>
      <c r="L69" s="10">
        <v>46167.767361111109</v>
      </c>
      <c r="M69" s="30" t="str">
        <f t="shared" si="16"/>
        <v>238829520 -&gt; 5990070#1 | t=500 | 25/05/2026 18:25</v>
      </c>
      <c r="N69" s="31" t="str">
        <f t="shared" si="17"/>
        <v>2 min 16 s</v>
      </c>
      <c r="O69" s="6">
        <f t="shared" si="18"/>
        <v>40.266000000000005</v>
      </c>
      <c r="P69" s="23">
        <f t="shared" si="19"/>
        <v>1.509911</v>
      </c>
      <c r="Q69" s="4">
        <f t="shared" si="20"/>
        <v>2.3611111111111111E-3</v>
      </c>
      <c r="R69" s="31" t="str">
        <f t="shared" si="21"/>
        <v>1 min 08 s</v>
      </c>
      <c r="S69" s="7">
        <f t="shared" si="22"/>
        <v>0.33333333333333331</v>
      </c>
      <c r="T69" s="31" t="str">
        <f t="shared" si="23"/>
        <v>Mejora</v>
      </c>
      <c r="V69" s="25"/>
      <c r="W69" s="25"/>
    </row>
    <row r="70" spans="1:23" x14ac:dyDescent="0.3">
      <c r="A70" s="29" t="s">
        <v>12</v>
      </c>
      <c r="B70" s="29" t="s">
        <v>22</v>
      </c>
      <c r="C70" s="29" t="s">
        <v>24</v>
      </c>
      <c r="D70" s="9">
        <v>500</v>
      </c>
      <c r="E70" s="9">
        <v>699</v>
      </c>
      <c r="F70" s="9">
        <v>199</v>
      </c>
      <c r="G70" s="9">
        <v>0</v>
      </c>
      <c r="H70" s="9">
        <v>7.6079999999999997</v>
      </c>
      <c r="I70" s="9">
        <v>1506.289</v>
      </c>
      <c r="J70" s="9">
        <v>0</v>
      </c>
      <c r="K70" s="9" t="b">
        <v>1</v>
      </c>
      <c r="L70" s="10">
        <v>46167.774305555555</v>
      </c>
      <c r="M70" s="30" t="str">
        <f t="shared" si="16"/>
        <v>238829520 -&gt; 5990070#1 | t=500 | 25/05/2026 18:35</v>
      </c>
      <c r="N70" s="31" t="str">
        <f t="shared" si="17"/>
        <v>3 min 19 s</v>
      </c>
      <c r="O70" s="6">
        <f t="shared" si="18"/>
        <v>27.3888</v>
      </c>
      <c r="P70" s="23">
        <f t="shared" si="19"/>
        <v>1.506289</v>
      </c>
      <c r="Q70" s="4">
        <f t="shared" si="20"/>
        <v>2.3032407407407407E-3</v>
      </c>
      <c r="R70" s="31" t="str">
        <f t="shared" si="21"/>
        <v/>
      </c>
      <c r="S70" s="7" t="str">
        <f t="shared" si="22"/>
        <v/>
      </c>
      <c r="T70" s="31" t="str">
        <f t="shared" si="23"/>
        <v>Referencia</v>
      </c>
      <c r="V70" s="25"/>
      <c r="W70" s="25"/>
    </row>
    <row r="71" spans="1:23" x14ac:dyDescent="0.3">
      <c r="A71" s="29" t="s">
        <v>13</v>
      </c>
      <c r="B71" s="29" t="s">
        <v>22</v>
      </c>
      <c r="C71" s="29" t="s">
        <v>24</v>
      </c>
      <c r="D71" s="9">
        <v>500</v>
      </c>
      <c r="E71" s="9">
        <v>624</v>
      </c>
      <c r="F71" s="9">
        <v>124</v>
      </c>
      <c r="G71" s="9">
        <v>0</v>
      </c>
      <c r="H71" s="9">
        <v>12.257</v>
      </c>
      <c r="I71" s="9">
        <v>1507.634</v>
      </c>
      <c r="J71" s="9">
        <v>3</v>
      </c>
      <c r="K71" s="9" t="b">
        <v>1</v>
      </c>
      <c r="L71" s="10">
        <v>46167.774305555555</v>
      </c>
      <c r="M71" s="30" t="str">
        <f t="shared" si="16"/>
        <v>238829520 -&gt; 5990070#1 | t=500 | 25/05/2026 18:35</v>
      </c>
      <c r="N71" s="31" t="str">
        <f t="shared" si="17"/>
        <v>2 min 04 s</v>
      </c>
      <c r="O71" s="6">
        <f t="shared" si="18"/>
        <v>44.1252</v>
      </c>
      <c r="P71" s="23">
        <f t="shared" si="19"/>
        <v>1.5076339999999999</v>
      </c>
      <c r="Q71" s="4">
        <f t="shared" si="20"/>
        <v>2.3032407407407407E-3</v>
      </c>
      <c r="R71" s="31" t="str">
        <f t="shared" si="21"/>
        <v>1 min 15 s</v>
      </c>
      <c r="S71" s="7">
        <f t="shared" si="22"/>
        <v>0.37688442211055273</v>
      </c>
      <c r="T71" s="31" t="str">
        <f t="shared" si="23"/>
        <v>Mejora</v>
      </c>
      <c r="V71" s="25"/>
      <c r="W71" s="25"/>
    </row>
    <row r="72" spans="1:23" x14ac:dyDescent="0.3">
      <c r="A72" s="29" t="s">
        <v>12</v>
      </c>
      <c r="B72" s="29" t="s">
        <v>22</v>
      </c>
      <c r="C72" s="29" t="s">
        <v>24</v>
      </c>
      <c r="D72" s="9">
        <v>500</v>
      </c>
      <c r="E72" s="9">
        <v>700</v>
      </c>
      <c r="F72" s="9">
        <v>200</v>
      </c>
      <c r="G72" s="9">
        <v>0</v>
      </c>
      <c r="H72" s="9">
        <v>7.593</v>
      </c>
      <c r="I72" s="9">
        <v>1510.981</v>
      </c>
      <c r="J72" s="9">
        <v>0</v>
      </c>
      <c r="K72" s="9" t="b">
        <v>1</v>
      </c>
      <c r="L72" s="10">
        <v>46167.827777777777</v>
      </c>
      <c r="M72" s="30" t="str">
        <f t="shared" si="16"/>
        <v>238829520 -&gt; 5990070#1 | t=500 | 25/05/2026 19:52</v>
      </c>
      <c r="N72" s="31" t="str">
        <f t="shared" si="17"/>
        <v>3 min 20 s</v>
      </c>
      <c r="O72" s="6">
        <f t="shared" si="18"/>
        <v>27.334800000000001</v>
      </c>
      <c r="P72" s="23">
        <f t="shared" si="19"/>
        <v>1.5109809999999999</v>
      </c>
      <c r="Q72" s="4">
        <f t="shared" si="20"/>
        <v>2.3148148148148147E-3</v>
      </c>
      <c r="R72" s="31" t="str">
        <f t="shared" si="21"/>
        <v/>
      </c>
      <c r="S72" s="7" t="str">
        <f t="shared" si="22"/>
        <v/>
      </c>
      <c r="T72" s="31" t="str">
        <f t="shared" si="23"/>
        <v>Referencia</v>
      </c>
      <c r="V72" s="25"/>
      <c r="W72" s="25"/>
    </row>
    <row r="73" spans="1:23" x14ac:dyDescent="0.3">
      <c r="A73" s="29" t="s">
        <v>13</v>
      </c>
      <c r="B73" s="29" t="s">
        <v>22</v>
      </c>
      <c r="C73" s="29" t="s">
        <v>24</v>
      </c>
      <c r="D73" s="9">
        <v>500</v>
      </c>
      <c r="E73" s="9">
        <v>664</v>
      </c>
      <c r="F73" s="9">
        <v>164</v>
      </c>
      <c r="G73" s="9">
        <v>0</v>
      </c>
      <c r="H73" s="9">
        <v>9.2390000000000008</v>
      </c>
      <c r="I73" s="9">
        <v>1505.9690000000001</v>
      </c>
      <c r="J73" s="9">
        <v>5</v>
      </c>
      <c r="K73" s="9" t="b">
        <v>1</v>
      </c>
      <c r="L73" s="10">
        <v>46167.827777777777</v>
      </c>
      <c r="M73" s="30" t="str">
        <f t="shared" si="16"/>
        <v>238829520 -&gt; 5990070#1 | t=500 | 25/05/2026 19:52</v>
      </c>
      <c r="N73" s="31" t="str">
        <f t="shared" si="17"/>
        <v>2 min 44 s</v>
      </c>
      <c r="O73" s="6">
        <f t="shared" si="18"/>
        <v>33.260400000000004</v>
      </c>
      <c r="P73" s="23">
        <f t="shared" si="19"/>
        <v>1.5059690000000001</v>
      </c>
      <c r="Q73" s="4">
        <f t="shared" si="20"/>
        <v>2.3148148148148147E-3</v>
      </c>
      <c r="R73" s="31" t="str">
        <f t="shared" si="21"/>
        <v>0 min 36 s</v>
      </c>
      <c r="S73" s="7">
        <f t="shared" si="22"/>
        <v>0.17999999999999994</v>
      </c>
      <c r="T73" s="31" t="str">
        <f t="shared" si="23"/>
        <v>Mejora</v>
      </c>
      <c r="V73" s="25"/>
      <c r="W73" s="25"/>
    </row>
    <row r="74" spans="1:23" x14ac:dyDescent="0.3">
      <c r="A74" s="29" t="s">
        <v>12</v>
      </c>
      <c r="B74" s="29" t="s">
        <v>22</v>
      </c>
      <c r="C74" s="29" t="s">
        <v>24</v>
      </c>
      <c r="D74" s="9">
        <v>500</v>
      </c>
      <c r="E74" s="9">
        <v>699</v>
      </c>
      <c r="F74" s="9">
        <v>199</v>
      </c>
      <c r="G74" s="9">
        <v>0</v>
      </c>
      <c r="H74" s="9">
        <v>7.6120000000000001</v>
      </c>
      <c r="I74" s="9">
        <v>1507.2270000000001</v>
      </c>
      <c r="J74" s="9">
        <v>0</v>
      </c>
      <c r="K74" s="9" t="b">
        <v>1</v>
      </c>
      <c r="L74" s="10">
        <v>46167.836805555555</v>
      </c>
      <c r="M74" s="30" t="str">
        <f t="shared" si="16"/>
        <v>238829520 -&gt; 5990070#1 | t=500 | 25/05/2026 20:05</v>
      </c>
      <c r="N74" s="31" t="str">
        <f t="shared" si="17"/>
        <v>3 min 19 s</v>
      </c>
      <c r="O74" s="6">
        <f t="shared" si="18"/>
        <v>27.403200000000002</v>
      </c>
      <c r="P74" s="23">
        <f t="shared" si="19"/>
        <v>1.5072270000000001</v>
      </c>
      <c r="Q74" s="4">
        <f t="shared" si="20"/>
        <v>2.3032407407407407E-3</v>
      </c>
      <c r="R74" s="31" t="str">
        <f t="shared" si="21"/>
        <v/>
      </c>
      <c r="S74" s="7" t="str">
        <f t="shared" si="22"/>
        <v/>
      </c>
      <c r="T74" s="31" t="str">
        <f t="shared" si="23"/>
        <v>Referencia</v>
      </c>
      <c r="V74" s="25"/>
      <c r="W74" s="25"/>
    </row>
    <row r="75" spans="1:23" x14ac:dyDescent="0.3">
      <c r="A75" s="29" t="s">
        <v>13</v>
      </c>
      <c r="B75" s="29" t="s">
        <v>22</v>
      </c>
      <c r="C75" s="29" t="s">
        <v>24</v>
      </c>
      <c r="D75" s="9">
        <v>500</v>
      </c>
      <c r="E75" s="9">
        <v>631</v>
      </c>
      <c r="F75" s="9">
        <v>131</v>
      </c>
      <c r="G75" s="9">
        <v>0</v>
      </c>
      <c r="H75" s="9">
        <v>11.571</v>
      </c>
      <c r="I75" s="9">
        <v>1504.211</v>
      </c>
      <c r="J75" s="9">
        <v>1</v>
      </c>
      <c r="K75" s="9" t="b">
        <v>1</v>
      </c>
      <c r="L75" s="10">
        <v>46167.836805555555</v>
      </c>
      <c r="M75" s="30" t="str">
        <f t="shared" si="16"/>
        <v>238829520 -&gt; 5990070#1 | t=500 | 25/05/2026 20:05</v>
      </c>
      <c r="N75" s="31" t="str">
        <f t="shared" si="17"/>
        <v>2 min 11 s</v>
      </c>
      <c r="O75" s="6">
        <f t="shared" si="18"/>
        <v>41.6556</v>
      </c>
      <c r="P75" s="23">
        <f t="shared" si="19"/>
        <v>1.504211</v>
      </c>
      <c r="Q75" s="4">
        <f t="shared" si="20"/>
        <v>2.3032407407407407E-3</v>
      </c>
      <c r="R75" s="31" t="str">
        <f t="shared" si="21"/>
        <v>1 min 08 s</v>
      </c>
      <c r="S75" s="7">
        <f t="shared" si="22"/>
        <v>0.34170854271356788</v>
      </c>
      <c r="T75" s="31" t="str">
        <f t="shared" si="23"/>
        <v>Mejora</v>
      </c>
      <c r="V75" s="25"/>
      <c r="W75" s="25"/>
    </row>
    <row r="76" spans="1:23" x14ac:dyDescent="0.3">
      <c r="A76" s="29" t="s">
        <v>12</v>
      </c>
      <c r="B76" s="29" t="s">
        <v>22</v>
      </c>
      <c r="C76" s="2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7.5910000000000002</v>
      </c>
      <c r="I76" s="9">
        <v>1510.653</v>
      </c>
      <c r="J76" s="9">
        <v>0</v>
      </c>
      <c r="K76" s="9" t="b">
        <v>1</v>
      </c>
      <c r="L76" s="10">
        <v>46167.847222222219</v>
      </c>
      <c r="M76" s="30" t="str">
        <f t="shared" si="16"/>
        <v>238829520 -&gt; 5990070#1 | t=500 | 25/05/2026 20:20</v>
      </c>
      <c r="N76" s="31" t="str">
        <f t="shared" si="17"/>
        <v>3 min 20 s</v>
      </c>
      <c r="O76" s="6">
        <f t="shared" si="18"/>
        <v>27.3276</v>
      </c>
      <c r="P76" s="23">
        <f t="shared" si="19"/>
        <v>1.510653</v>
      </c>
      <c r="Q76" s="4">
        <f t="shared" si="20"/>
        <v>2.3148148148148147E-3</v>
      </c>
      <c r="R76" s="31" t="str">
        <f t="shared" si="21"/>
        <v/>
      </c>
      <c r="S76" s="7" t="str">
        <f t="shared" si="22"/>
        <v/>
      </c>
      <c r="T76" s="31" t="str">
        <f t="shared" si="23"/>
        <v>Referencia</v>
      </c>
      <c r="V76" s="25"/>
      <c r="W76" s="25"/>
    </row>
    <row r="77" spans="1:23" x14ac:dyDescent="0.3">
      <c r="A77" s="29" t="s">
        <v>13</v>
      </c>
      <c r="B77" s="29" t="s">
        <v>22</v>
      </c>
      <c r="C77" s="29" t="s">
        <v>24</v>
      </c>
      <c r="D77" s="9">
        <v>500</v>
      </c>
      <c r="E77" s="9">
        <v>634</v>
      </c>
      <c r="F77" s="9">
        <v>134</v>
      </c>
      <c r="G77" s="9">
        <v>0</v>
      </c>
      <c r="H77" s="9">
        <v>11.356999999999999</v>
      </c>
      <c r="I77" s="9">
        <v>1510.4549999999999</v>
      </c>
      <c r="J77" s="9">
        <v>1</v>
      </c>
      <c r="K77" s="9" t="b">
        <v>1</v>
      </c>
      <c r="L77" s="10">
        <v>46167.847222222219</v>
      </c>
      <c r="M77" s="30" t="str">
        <f t="shared" si="16"/>
        <v>238829520 -&gt; 5990070#1 | t=500 | 25/05/2026 20:20</v>
      </c>
      <c r="N77" s="31" t="str">
        <f t="shared" si="17"/>
        <v>2 min 14 s</v>
      </c>
      <c r="O77" s="6">
        <f t="shared" si="18"/>
        <v>40.885199999999998</v>
      </c>
      <c r="P77" s="23">
        <f t="shared" si="19"/>
        <v>1.5104549999999999</v>
      </c>
      <c r="Q77" s="4">
        <f t="shared" si="20"/>
        <v>2.3148148148148147E-3</v>
      </c>
      <c r="R77" s="31" t="str">
        <f t="shared" si="21"/>
        <v>1 min 06 s</v>
      </c>
      <c r="S77" s="7">
        <f t="shared" si="22"/>
        <v>0.33</v>
      </c>
      <c r="T77" s="31" t="str">
        <f t="shared" si="23"/>
        <v>Mejora</v>
      </c>
      <c r="V77" s="25"/>
      <c r="W77" s="25"/>
    </row>
    <row r="78" spans="1:23" x14ac:dyDescent="0.3">
      <c r="A78" s="29" t="s">
        <v>12</v>
      </c>
      <c r="B78" s="29" t="s">
        <v>22</v>
      </c>
      <c r="C78" s="2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7.601</v>
      </c>
      <c r="I78" s="9">
        <v>1505.0730000000001</v>
      </c>
      <c r="J78" s="9">
        <v>0</v>
      </c>
      <c r="K78" s="9" t="b">
        <v>1</v>
      </c>
      <c r="L78" s="10">
        <v>46167.854166666664</v>
      </c>
      <c r="M78" s="30" t="str">
        <f t="shared" si="16"/>
        <v>238829520 -&gt; 5990070#1 | t=500 | 25/05/2026 20:30</v>
      </c>
      <c r="N78" s="31" t="str">
        <f t="shared" si="17"/>
        <v>3 min 19 s</v>
      </c>
      <c r="O78" s="6">
        <f t="shared" si="18"/>
        <v>27.363600000000002</v>
      </c>
      <c r="P78" s="23">
        <f t="shared" si="19"/>
        <v>1.5050730000000001</v>
      </c>
      <c r="Q78" s="4">
        <f t="shared" si="20"/>
        <v>2.3032407407407407E-3</v>
      </c>
      <c r="R78" s="31" t="str">
        <f t="shared" si="21"/>
        <v/>
      </c>
      <c r="S78" s="7" t="str">
        <f t="shared" si="22"/>
        <v/>
      </c>
      <c r="T78" s="31" t="str">
        <f t="shared" si="23"/>
        <v>Referencia</v>
      </c>
      <c r="V78" s="25"/>
      <c r="W78" s="25"/>
    </row>
    <row r="79" spans="1:23" x14ac:dyDescent="0.3">
      <c r="A79" s="29" t="s">
        <v>13</v>
      </c>
      <c r="B79" s="29" t="s">
        <v>22</v>
      </c>
      <c r="C79" s="29" t="s">
        <v>24</v>
      </c>
      <c r="D79" s="9">
        <v>500</v>
      </c>
      <c r="E79" s="9">
        <v>634</v>
      </c>
      <c r="F79" s="9">
        <v>134</v>
      </c>
      <c r="G79" s="9">
        <v>0</v>
      </c>
      <c r="H79" s="9">
        <v>11.337</v>
      </c>
      <c r="I79" s="9">
        <v>1507.828</v>
      </c>
      <c r="J79" s="9">
        <v>1</v>
      </c>
      <c r="K79" s="9" t="b">
        <v>1</v>
      </c>
      <c r="L79" s="10">
        <v>46167.854166666664</v>
      </c>
      <c r="M79" s="30" t="str">
        <f t="shared" si="16"/>
        <v>238829520 -&gt; 5990070#1 | t=500 | 25/05/2026 20:30</v>
      </c>
      <c r="N79" s="31" t="str">
        <f t="shared" si="17"/>
        <v>2 min 14 s</v>
      </c>
      <c r="O79" s="6">
        <f t="shared" si="18"/>
        <v>40.813200000000002</v>
      </c>
      <c r="P79" s="23">
        <f t="shared" si="19"/>
        <v>1.5078279999999999</v>
      </c>
      <c r="Q79" s="4">
        <f t="shared" si="20"/>
        <v>2.3032407407407407E-3</v>
      </c>
      <c r="R79" s="31" t="str">
        <f t="shared" si="21"/>
        <v>1 min 05 s</v>
      </c>
      <c r="S79" s="7">
        <f t="shared" si="22"/>
        <v>0.32663316582914576</v>
      </c>
      <c r="T79" s="31" t="str">
        <f t="shared" si="23"/>
        <v>Mejora</v>
      </c>
      <c r="V79" s="25"/>
      <c r="W79" s="25"/>
    </row>
    <row r="80" spans="1:23" x14ac:dyDescent="0.3">
      <c r="A80" s="29" t="s">
        <v>12</v>
      </c>
      <c r="B80" s="29" t="s">
        <v>22</v>
      </c>
      <c r="C80" s="29" t="s">
        <v>24</v>
      </c>
      <c r="D80" s="9">
        <v>500</v>
      </c>
      <c r="E80" s="9">
        <v>699</v>
      </c>
      <c r="F80" s="9">
        <v>199</v>
      </c>
      <c r="G80" s="9">
        <v>0</v>
      </c>
      <c r="H80" s="9">
        <v>7.6070000000000002</v>
      </c>
      <c r="I80" s="9">
        <v>1506.2719999999999</v>
      </c>
      <c r="J80" s="9">
        <v>0</v>
      </c>
      <c r="K80" s="9" t="b">
        <v>1</v>
      </c>
      <c r="L80" s="10">
        <v>46167.864583333336</v>
      </c>
      <c r="M80" s="30" t="str">
        <f t="shared" si="16"/>
        <v>238829520 -&gt; 5990070#1 | t=500 | 25/05/2026 20:45</v>
      </c>
      <c r="N80" s="31" t="str">
        <f t="shared" si="17"/>
        <v>3 min 19 s</v>
      </c>
      <c r="O80" s="6">
        <f t="shared" si="18"/>
        <v>27.385200000000001</v>
      </c>
      <c r="P80" s="23">
        <f t="shared" si="19"/>
        <v>1.5062719999999998</v>
      </c>
      <c r="Q80" s="4">
        <f t="shared" si="20"/>
        <v>2.3032407407407407E-3</v>
      </c>
      <c r="R80" s="31" t="str">
        <f t="shared" si="21"/>
        <v/>
      </c>
      <c r="S80" s="7" t="str">
        <f t="shared" si="22"/>
        <v/>
      </c>
      <c r="T80" s="31" t="str">
        <f t="shared" si="23"/>
        <v>Referencia</v>
      </c>
      <c r="V80" s="25"/>
      <c r="W80" s="25"/>
    </row>
    <row r="81" spans="1:23" x14ac:dyDescent="0.3">
      <c r="A81" s="29" t="s">
        <v>13</v>
      </c>
      <c r="B81" s="29" t="s">
        <v>22</v>
      </c>
      <c r="C81" s="29" t="s">
        <v>24</v>
      </c>
      <c r="D81" s="9">
        <v>500</v>
      </c>
      <c r="E81" s="9">
        <v>635</v>
      </c>
      <c r="F81" s="9">
        <v>135</v>
      </c>
      <c r="G81" s="9">
        <v>0</v>
      </c>
      <c r="H81" s="9">
        <v>11.23</v>
      </c>
      <c r="I81" s="9">
        <v>1504.866</v>
      </c>
      <c r="J81" s="9">
        <v>1</v>
      </c>
      <c r="K81" s="9" t="b">
        <v>1</v>
      </c>
      <c r="L81" s="10">
        <v>46167.864583333336</v>
      </c>
      <c r="M81" s="30" t="str">
        <f t="shared" si="16"/>
        <v>238829520 -&gt; 5990070#1 | t=500 | 25/05/2026 20:45</v>
      </c>
      <c r="N81" s="31" t="str">
        <f t="shared" si="17"/>
        <v>2 min 15 s</v>
      </c>
      <c r="O81" s="6">
        <f t="shared" si="18"/>
        <v>40.428000000000004</v>
      </c>
      <c r="P81" s="23">
        <f t="shared" si="19"/>
        <v>1.504866</v>
      </c>
      <c r="Q81" s="4">
        <f t="shared" si="20"/>
        <v>2.3032407407407407E-3</v>
      </c>
      <c r="R81" s="31" t="str">
        <f t="shared" si="21"/>
        <v>1 min 04 s</v>
      </c>
      <c r="S81" s="7">
        <f t="shared" si="22"/>
        <v>0.32160804020100497</v>
      </c>
      <c r="T81" s="31" t="str">
        <f t="shared" si="23"/>
        <v>Mejora</v>
      </c>
      <c r="V81" s="25"/>
      <c r="W81" s="25"/>
    </row>
    <row r="82" spans="1:23" x14ac:dyDescent="0.3">
      <c r="A82" s="29" t="s">
        <v>12</v>
      </c>
      <c r="B82" s="29" t="s">
        <v>22</v>
      </c>
      <c r="C82" s="29" t="s">
        <v>24</v>
      </c>
      <c r="D82" s="9">
        <v>500</v>
      </c>
      <c r="E82" s="9">
        <v>699</v>
      </c>
      <c r="F82" s="9">
        <v>199</v>
      </c>
      <c r="G82" s="9">
        <v>0</v>
      </c>
      <c r="H82" s="9">
        <v>7.6150000000000002</v>
      </c>
      <c r="I82" s="9">
        <v>1507.691</v>
      </c>
      <c r="J82" s="9">
        <v>0</v>
      </c>
      <c r="K82" s="9" t="b">
        <v>1</v>
      </c>
      <c r="L82" s="10">
        <v>46167.899305555555</v>
      </c>
      <c r="M82" s="30" t="str">
        <f t="shared" si="16"/>
        <v>238829520 -&gt; 5990070#1 | t=500 | 25/05/2026 21:35</v>
      </c>
      <c r="N82" s="31" t="str">
        <f t="shared" si="17"/>
        <v>3 min 19 s</v>
      </c>
      <c r="O82" s="6">
        <f t="shared" si="18"/>
        <v>27.414000000000001</v>
      </c>
      <c r="P82" s="23">
        <f t="shared" si="19"/>
        <v>1.5076910000000001</v>
      </c>
      <c r="Q82" s="4">
        <f t="shared" si="20"/>
        <v>2.3032407407407407E-3</v>
      </c>
      <c r="R82" s="31" t="str">
        <f t="shared" si="21"/>
        <v/>
      </c>
      <c r="S82" s="7" t="str">
        <f t="shared" si="22"/>
        <v/>
      </c>
      <c r="T82" s="31" t="str">
        <f t="shared" si="23"/>
        <v>Referencia</v>
      </c>
      <c r="V82" s="25"/>
      <c r="W82" s="25"/>
    </row>
    <row r="83" spans="1:23" x14ac:dyDescent="0.3">
      <c r="A83" s="29" t="s">
        <v>13</v>
      </c>
      <c r="B83" s="29" t="s">
        <v>22</v>
      </c>
      <c r="C83" s="29" t="s">
        <v>24</v>
      </c>
      <c r="D83" s="9">
        <v>500</v>
      </c>
      <c r="E83" s="9">
        <v>627</v>
      </c>
      <c r="F83" s="9">
        <v>127</v>
      </c>
      <c r="G83" s="9">
        <v>0</v>
      </c>
      <c r="H83" s="9">
        <v>11.253</v>
      </c>
      <c r="I83" s="9">
        <v>1507.8910000000001</v>
      </c>
      <c r="J83" s="9">
        <v>2</v>
      </c>
      <c r="K83" s="9" t="b">
        <v>1</v>
      </c>
      <c r="L83" s="10">
        <v>46167.899305555555</v>
      </c>
      <c r="M83" s="30" t="str">
        <f t="shared" si="16"/>
        <v>238829520 -&gt; 5990070#1 | t=500 | 25/05/2026 21:35</v>
      </c>
      <c r="N83" s="31" t="str">
        <f t="shared" si="17"/>
        <v>2 min 07 s</v>
      </c>
      <c r="O83" s="6">
        <f t="shared" si="18"/>
        <v>40.510800000000003</v>
      </c>
      <c r="P83" s="23">
        <f t="shared" si="19"/>
        <v>1.5078910000000001</v>
      </c>
      <c r="Q83" s="4">
        <f t="shared" si="20"/>
        <v>2.3032407407407407E-3</v>
      </c>
      <c r="R83" s="31" t="str">
        <f t="shared" si="21"/>
        <v>1 min 12 s</v>
      </c>
      <c r="S83" s="7">
        <f t="shared" si="22"/>
        <v>0.36180904522613067</v>
      </c>
      <c r="T83" s="31" t="str">
        <f t="shared" si="23"/>
        <v>Mejora</v>
      </c>
      <c r="V83" s="25"/>
      <c r="W83" s="25"/>
    </row>
    <row r="84" spans="1:23" x14ac:dyDescent="0.3">
      <c r="A84" s="29" t="s">
        <v>12</v>
      </c>
      <c r="B84" s="29" t="s">
        <v>22</v>
      </c>
      <c r="C84" s="29" t="s">
        <v>24</v>
      </c>
      <c r="D84" s="9">
        <v>500</v>
      </c>
      <c r="E84" s="9">
        <v>700</v>
      </c>
      <c r="F84" s="9">
        <v>200</v>
      </c>
      <c r="G84" s="9">
        <v>0</v>
      </c>
      <c r="H84" s="9">
        <v>7.5830000000000002</v>
      </c>
      <c r="I84" s="9">
        <v>1509.0519999999999</v>
      </c>
      <c r="J84" s="9">
        <v>0</v>
      </c>
      <c r="K84" s="9" t="b">
        <v>1</v>
      </c>
      <c r="L84" s="10">
        <v>46167.923611111109</v>
      </c>
      <c r="M84" s="30" t="str">
        <f t="shared" si="16"/>
        <v>238829520 -&gt; 5990070#1 | t=500 | 25/05/2026 22:10</v>
      </c>
      <c r="N84" s="31" t="str">
        <f t="shared" si="17"/>
        <v>3 min 20 s</v>
      </c>
      <c r="O84" s="6">
        <f t="shared" si="18"/>
        <v>27.2988</v>
      </c>
      <c r="P84" s="23">
        <f t="shared" si="19"/>
        <v>1.5090519999999998</v>
      </c>
      <c r="Q84" s="4">
        <f t="shared" si="20"/>
        <v>2.3148148148148147E-3</v>
      </c>
      <c r="R84" s="31" t="str">
        <f t="shared" si="21"/>
        <v/>
      </c>
      <c r="S84" s="7" t="str">
        <f t="shared" si="22"/>
        <v/>
      </c>
      <c r="T84" s="31" t="str">
        <f t="shared" si="23"/>
        <v>Referencia</v>
      </c>
      <c r="V84" s="25"/>
      <c r="W84" s="25"/>
    </row>
    <row r="85" spans="1:23" x14ac:dyDescent="0.3">
      <c r="A85" s="29" t="s">
        <v>13</v>
      </c>
      <c r="B85" s="29" t="s">
        <v>22</v>
      </c>
      <c r="C85" s="29" t="s">
        <v>24</v>
      </c>
      <c r="D85" s="9">
        <v>500</v>
      </c>
      <c r="E85" s="9">
        <v>623</v>
      </c>
      <c r="F85" s="9">
        <v>123</v>
      </c>
      <c r="G85" s="9">
        <v>0</v>
      </c>
      <c r="H85" s="9">
        <v>12.351000000000001</v>
      </c>
      <c r="I85" s="9">
        <v>1506.7660000000001</v>
      </c>
      <c r="J85" s="9">
        <v>3</v>
      </c>
      <c r="K85" s="9" t="b">
        <v>1</v>
      </c>
      <c r="L85" s="10">
        <v>46167.923611111109</v>
      </c>
      <c r="M85" s="30" t="str">
        <f t="shared" si="16"/>
        <v>238829520 -&gt; 5990070#1 | t=500 | 25/05/2026 22:10</v>
      </c>
      <c r="N85" s="31" t="str">
        <f t="shared" si="17"/>
        <v>2 min 03 s</v>
      </c>
      <c r="O85" s="6">
        <f t="shared" si="18"/>
        <v>44.463600000000007</v>
      </c>
      <c r="P85" s="23">
        <f t="shared" si="19"/>
        <v>1.506766</v>
      </c>
      <c r="Q85" s="4">
        <f t="shared" si="20"/>
        <v>2.3148148148148147E-3</v>
      </c>
      <c r="R85" s="31" t="str">
        <f t="shared" si="21"/>
        <v>1 min 17 s</v>
      </c>
      <c r="S85" s="7">
        <f t="shared" si="22"/>
        <v>0.38499999999999995</v>
      </c>
      <c r="T85" s="31" t="str">
        <f t="shared" si="23"/>
        <v>Mejora</v>
      </c>
      <c r="V85" s="25"/>
      <c r="W85" s="25"/>
    </row>
    <row r="86" spans="1:23" x14ac:dyDescent="0.3">
      <c r="A86" s="29" t="s">
        <v>12</v>
      </c>
      <c r="B86" s="29" t="s">
        <v>22</v>
      </c>
      <c r="C86" s="29" t="s">
        <v>24</v>
      </c>
      <c r="D86" s="9">
        <v>500</v>
      </c>
      <c r="E86" s="9">
        <v>701</v>
      </c>
      <c r="F86" s="9">
        <v>201</v>
      </c>
      <c r="G86" s="9">
        <v>0</v>
      </c>
      <c r="H86" s="9">
        <v>7.5369999999999999</v>
      </c>
      <c r="I86" s="9">
        <v>1507.415</v>
      </c>
      <c r="J86" s="9">
        <v>0</v>
      </c>
      <c r="K86" s="9" t="b">
        <v>1</v>
      </c>
      <c r="L86" s="10">
        <v>46167.986111111109</v>
      </c>
      <c r="M86" s="30" t="str">
        <f t="shared" si="16"/>
        <v>238829520 -&gt; 5990070#1 | t=500 | 25/05/2026 23:40</v>
      </c>
      <c r="N86" s="31" t="str">
        <f t="shared" si="17"/>
        <v>3 min 21 s</v>
      </c>
      <c r="O86" s="6">
        <f t="shared" si="18"/>
        <v>27.133199999999999</v>
      </c>
      <c r="P86" s="23">
        <f t="shared" si="19"/>
        <v>1.5074149999999999</v>
      </c>
      <c r="Q86" s="4">
        <f t="shared" si="20"/>
        <v>2.3263888888888887E-3</v>
      </c>
      <c r="R86" s="31" t="str">
        <f t="shared" si="21"/>
        <v/>
      </c>
      <c r="S86" s="7" t="str">
        <f t="shared" si="22"/>
        <v/>
      </c>
      <c r="T86" s="31" t="str">
        <f t="shared" si="23"/>
        <v>Referencia</v>
      </c>
      <c r="V86" s="25"/>
      <c r="W86" s="25"/>
    </row>
    <row r="87" spans="1:23" x14ac:dyDescent="0.3">
      <c r="A87" s="29" t="s">
        <v>13</v>
      </c>
      <c r="B87" s="29" t="s">
        <v>22</v>
      </c>
      <c r="C87" s="29" t="s">
        <v>24</v>
      </c>
      <c r="D87" s="9">
        <v>500</v>
      </c>
      <c r="E87" s="9">
        <v>634</v>
      </c>
      <c r="F87" s="9">
        <v>134</v>
      </c>
      <c r="G87" s="9">
        <v>0</v>
      </c>
      <c r="H87" s="9">
        <v>11.311</v>
      </c>
      <c r="I87" s="9">
        <v>1504.306</v>
      </c>
      <c r="J87" s="9">
        <v>1</v>
      </c>
      <c r="K87" s="9" t="b">
        <v>1</v>
      </c>
      <c r="L87" s="10">
        <v>46167.986111111109</v>
      </c>
      <c r="M87" s="30" t="str">
        <f t="shared" si="16"/>
        <v>238829520 -&gt; 5990070#1 | t=500 | 25/05/2026 23:40</v>
      </c>
      <c r="N87" s="31" t="str">
        <f t="shared" si="17"/>
        <v>2 min 14 s</v>
      </c>
      <c r="O87" s="6">
        <f t="shared" si="18"/>
        <v>40.7196</v>
      </c>
      <c r="P87" s="23">
        <f t="shared" si="19"/>
        <v>1.5043060000000001</v>
      </c>
      <c r="Q87" s="4">
        <f t="shared" si="20"/>
        <v>2.3263888888888887E-3</v>
      </c>
      <c r="R87" s="31" t="str">
        <f t="shared" si="21"/>
        <v>1 min 07 s</v>
      </c>
      <c r="S87" s="7">
        <f t="shared" si="22"/>
        <v>0.33333333333333331</v>
      </c>
      <c r="T87" s="31" t="str">
        <f t="shared" si="23"/>
        <v>Mejora</v>
      </c>
      <c r="V87" s="25" t="s">
        <v>45</v>
      </c>
      <c r="W87" s="25" t="s">
        <v>43</v>
      </c>
    </row>
    <row r="88" spans="1:23" x14ac:dyDescent="0.3">
      <c r="A88" s="29" t="s">
        <v>12</v>
      </c>
      <c r="B88" s="29" t="s">
        <v>24</v>
      </c>
      <c r="C88" s="2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30" t="str">
        <f t="shared" si="16"/>
        <v>5990070#1 -&gt; 238829520 | t=500 | 26/05/2026 11:45</v>
      </c>
      <c r="N88" s="31" t="str">
        <f t="shared" si="17"/>
        <v>7 min 01 s</v>
      </c>
      <c r="O88" s="6">
        <f t="shared" si="18"/>
        <v>21.110399999999998</v>
      </c>
      <c r="P88" s="23">
        <f t="shared" si="19"/>
        <v>1.6184430000000001</v>
      </c>
      <c r="Q88" s="4">
        <f t="shared" si="20"/>
        <v>4.8726851851851848E-3</v>
      </c>
      <c r="R88" s="31" t="str">
        <f t="shared" si="21"/>
        <v/>
      </c>
      <c r="S88" s="7" t="str">
        <f t="shared" si="22"/>
        <v/>
      </c>
      <c r="T88" s="31" t="str">
        <f t="shared" si="23"/>
        <v>Referencia</v>
      </c>
    </row>
    <row r="89" spans="1:23" x14ac:dyDescent="0.3">
      <c r="A89" s="29" t="s">
        <v>13</v>
      </c>
      <c r="B89" s="29" t="s">
        <v>24</v>
      </c>
      <c r="C89" s="2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30" t="str">
        <f t="shared" si="16"/>
        <v>5990070#1 -&gt; 238829520 | t=500 | 26/05/2026 11:45</v>
      </c>
      <c r="N89" s="31" t="str">
        <f t="shared" si="17"/>
        <v>7 min 01 s</v>
      </c>
      <c r="O89" s="6">
        <f t="shared" si="18"/>
        <v>21.110399999999998</v>
      </c>
      <c r="P89" s="23">
        <f t="shared" si="19"/>
        <v>1.6184430000000001</v>
      </c>
      <c r="Q89" s="4">
        <f t="shared" si="20"/>
        <v>4.8726851851851848E-3</v>
      </c>
      <c r="R89" s="31" t="str">
        <f t="shared" si="21"/>
        <v>0 min 00 s</v>
      </c>
      <c r="S89" s="7">
        <f t="shared" si="22"/>
        <v>0</v>
      </c>
      <c r="T89" s="31" t="str">
        <f t="shared" si="23"/>
        <v>Igual</v>
      </c>
    </row>
    <row r="90" spans="1:23" x14ac:dyDescent="0.3">
      <c r="A90" s="29" t="s">
        <v>12</v>
      </c>
      <c r="B90" s="29" t="s">
        <v>22</v>
      </c>
      <c r="C90" s="2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30" t="str">
        <f t="shared" si="16"/>
        <v>238829520 -&gt; 5990070#1 | t=1500 | 26/05/2026 12:20</v>
      </c>
      <c r="N90" s="31" t="str">
        <f t="shared" si="17"/>
        <v>5 min 06 s</v>
      </c>
      <c r="O90" s="6">
        <f t="shared" si="18"/>
        <v>17.784000000000002</v>
      </c>
      <c r="P90" s="23">
        <f t="shared" si="19"/>
        <v>1.50657</v>
      </c>
      <c r="Q90" s="4">
        <f t="shared" si="20"/>
        <v>3.5416666666666665E-3</v>
      </c>
      <c r="R90" s="31" t="str">
        <f t="shared" si="21"/>
        <v/>
      </c>
      <c r="S90" s="7" t="str">
        <f t="shared" si="22"/>
        <v/>
      </c>
      <c r="T90" s="31" t="str">
        <f t="shared" si="23"/>
        <v>Referencia</v>
      </c>
    </row>
    <row r="91" spans="1:23" x14ac:dyDescent="0.3">
      <c r="A91" s="29" t="s">
        <v>13</v>
      </c>
      <c r="B91" s="29" t="s">
        <v>22</v>
      </c>
      <c r="C91" s="2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30" t="str">
        <f t="shared" si="16"/>
        <v>238829520 -&gt; 5990070#1 | t=1500 | 26/05/2026 12:20</v>
      </c>
      <c r="N91" s="31" t="str">
        <f t="shared" si="17"/>
        <v>7 min 42 s</v>
      </c>
      <c r="O91" s="6">
        <f t="shared" si="18"/>
        <v>11.764799999999999</v>
      </c>
      <c r="P91" s="23">
        <f t="shared" si="19"/>
        <v>1.5065299999999999</v>
      </c>
      <c r="Q91" s="4">
        <f t="shared" si="20"/>
        <v>3.5416666666666665E-3</v>
      </c>
      <c r="R91" s="31" t="str">
        <f t="shared" si="21"/>
        <v>-2 min 36 s</v>
      </c>
      <c r="S91" s="7">
        <f t="shared" si="22"/>
        <v>-0.50980392156862742</v>
      </c>
      <c r="T91" s="31" t="str">
        <f t="shared" si="23"/>
        <v>Empeora</v>
      </c>
    </row>
    <row r="92" spans="1:23" x14ac:dyDescent="0.3">
      <c r="A92" s="29" t="s">
        <v>12</v>
      </c>
      <c r="B92" s="29" t="s">
        <v>22</v>
      </c>
      <c r="C92" s="2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30" t="str">
        <f t="shared" si="16"/>
        <v>238829520 -&gt; 5990070#1 | t=700 | 26/05/2026 12:20</v>
      </c>
      <c r="N92" s="31" t="str">
        <f t="shared" si="17"/>
        <v>3 min 01 s</v>
      </c>
      <c r="O92" s="6">
        <f t="shared" si="18"/>
        <v>30.103200000000001</v>
      </c>
      <c r="P92" s="23">
        <f t="shared" si="19"/>
        <v>1.5051840000000001</v>
      </c>
      <c r="Q92" s="4">
        <f t="shared" si="20"/>
        <v>2.0949074074074073E-3</v>
      </c>
      <c r="R92" s="31" t="str">
        <f t="shared" si="21"/>
        <v/>
      </c>
      <c r="S92" s="7" t="str">
        <f t="shared" si="22"/>
        <v/>
      </c>
      <c r="T92" s="31" t="str">
        <f t="shared" si="23"/>
        <v>Referencia</v>
      </c>
    </row>
    <row r="93" spans="1:23" x14ac:dyDescent="0.3">
      <c r="A93" s="29" t="s">
        <v>13</v>
      </c>
      <c r="B93" s="29" t="s">
        <v>22</v>
      </c>
      <c r="C93" s="2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30" t="str">
        <f t="shared" si="16"/>
        <v>238829520 -&gt; 5990070#1 | t=700 | 26/05/2026 12:20</v>
      </c>
      <c r="N93" s="31" t="str">
        <f t="shared" si="17"/>
        <v>2 min 58 s</v>
      </c>
      <c r="O93" s="6">
        <f t="shared" si="18"/>
        <v>30.581999999999997</v>
      </c>
      <c r="P93" s="23">
        <f t="shared" si="19"/>
        <v>1.503687</v>
      </c>
      <c r="Q93" s="4">
        <f t="shared" si="20"/>
        <v>2.0949074074074073E-3</v>
      </c>
      <c r="R93" s="31" t="str">
        <f t="shared" si="21"/>
        <v>0 min 03 s</v>
      </c>
      <c r="S93" s="7">
        <f t="shared" si="22"/>
        <v>1.6574585635359018E-2</v>
      </c>
      <c r="T93" s="31" t="str">
        <f t="shared" si="23"/>
        <v>Mejora</v>
      </c>
    </row>
    <row r="94" spans="1:23" x14ac:dyDescent="0.3">
      <c r="A94" s="29" t="s">
        <v>12</v>
      </c>
      <c r="B94" s="29" t="s">
        <v>22</v>
      </c>
      <c r="C94" s="2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30" t="str">
        <f t="shared" si="16"/>
        <v>238829520 -&gt; 5990070#1 | t=500 | 26/05/2026 12:20</v>
      </c>
      <c r="N94" s="31" t="str">
        <f t="shared" si="17"/>
        <v>3 min 20 s</v>
      </c>
      <c r="O94" s="6">
        <f t="shared" si="18"/>
        <v>27.331199999999999</v>
      </c>
      <c r="P94" s="23">
        <f t="shared" si="19"/>
        <v>1.5107190000000001</v>
      </c>
      <c r="Q94" s="4">
        <f t="shared" si="20"/>
        <v>2.3148148148148147E-3</v>
      </c>
      <c r="R94" s="31" t="str">
        <f t="shared" si="21"/>
        <v/>
      </c>
      <c r="S94" s="7" t="str">
        <f t="shared" si="22"/>
        <v/>
      </c>
      <c r="T94" s="31" t="str">
        <f t="shared" si="23"/>
        <v>Referencia</v>
      </c>
    </row>
    <row r="95" spans="1:23" x14ac:dyDescent="0.3">
      <c r="A95" s="29" t="s">
        <v>13</v>
      </c>
      <c r="B95" s="29" t="s">
        <v>22</v>
      </c>
      <c r="C95" s="2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30" t="str">
        <f t="shared" si="16"/>
        <v>238829520 -&gt; 5990070#1 | t=500 | 26/05/2026 12:20</v>
      </c>
      <c r="N95" s="31" t="str">
        <f t="shared" si="17"/>
        <v>2 min 08 s</v>
      </c>
      <c r="O95" s="6">
        <f t="shared" si="18"/>
        <v>42.688800000000001</v>
      </c>
      <c r="P95" s="23">
        <f t="shared" si="19"/>
        <v>1.5059559999999999</v>
      </c>
      <c r="Q95" s="4">
        <f t="shared" si="20"/>
        <v>2.3148148148148147E-3</v>
      </c>
      <c r="R95" s="31" t="str">
        <f t="shared" si="21"/>
        <v>1 min 12 s</v>
      </c>
      <c r="S95" s="7">
        <f t="shared" si="22"/>
        <v>0.36</v>
      </c>
      <c r="T95" s="31" t="str">
        <f t="shared" si="23"/>
        <v>Mejora</v>
      </c>
    </row>
    <row r="96" spans="1:23" x14ac:dyDescent="0.3">
      <c r="A96" s="29" t="s">
        <v>12</v>
      </c>
      <c r="B96" s="29" t="s">
        <v>22</v>
      </c>
      <c r="C96" s="2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30" t="str">
        <f t="shared" si="16"/>
        <v>238829520 -&gt; 5990070#1 | t=500 | 09/06/2026 13:30</v>
      </c>
      <c r="N96" s="31" t="str">
        <f t="shared" si="17"/>
        <v>4 min 52 s</v>
      </c>
      <c r="O96" s="6">
        <f t="shared" si="18"/>
        <v>18.594000000000001</v>
      </c>
      <c r="P96" s="23">
        <f t="shared" si="19"/>
        <v>1.5029809999999999</v>
      </c>
      <c r="Q96" s="4">
        <f t="shared" si="20"/>
        <v>3.3796296296296296E-3</v>
      </c>
      <c r="R96" s="31" t="str">
        <f t="shared" si="21"/>
        <v/>
      </c>
      <c r="S96" s="7" t="str">
        <f t="shared" si="22"/>
        <v/>
      </c>
      <c r="T96" s="31" t="str">
        <f t="shared" si="23"/>
        <v>Referencia</v>
      </c>
    </row>
    <row r="97" spans="1:20" x14ac:dyDescent="0.3">
      <c r="A97" s="29" t="s">
        <v>13</v>
      </c>
      <c r="B97" s="29" t="s">
        <v>22</v>
      </c>
      <c r="C97" s="2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30" t="str">
        <f t="shared" si="16"/>
        <v>238829520 -&gt; 5990070#1 | t=500 | 09/06/2026 13:30</v>
      </c>
      <c r="N97" s="31" t="str">
        <f t="shared" si="17"/>
        <v>3 min 21 s</v>
      </c>
      <c r="O97" s="6">
        <f t="shared" si="18"/>
        <v>27.043199999999999</v>
      </c>
      <c r="P97" s="23">
        <f t="shared" si="19"/>
        <v>1.502316</v>
      </c>
      <c r="Q97" s="4">
        <f t="shared" si="20"/>
        <v>3.3796296296296296E-3</v>
      </c>
      <c r="R97" s="31" t="str">
        <f t="shared" si="21"/>
        <v>1 min 31 s</v>
      </c>
      <c r="S97" s="7">
        <f t="shared" si="22"/>
        <v>0.31164383561643838</v>
      </c>
      <c r="T97" s="31" t="str">
        <f t="shared" si="23"/>
        <v>Mejora</v>
      </c>
    </row>
    <row r="98" spans="1:20" x14ac:dyDescent="0.3">
      <c r="A98" s="29" t="s">
        <v>12</v>
      </c>
      <c r="B98" s="29" t="s">
        <v>22</v>
      </c>
      <c r="C98" s="2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30" t="str">
        <f t="shared" ref="M98:M129" si="24">B98&amp;" -&gt; "&amp;C98&amp;" | t="&amp;D98&amp;" | "&amp;TEXT(L98,"dd/mm/aaaa hh:mm")</f>
        <v>238829520 -&gt; 5990070#1 | t=500 | 11/07/2026 18:50</v>
      </c>
      <c r="N98" s="31" t="str">
        <f t="shared" ref="N98:N129" si="25">IF(F98="","",INT(F98/60)&amp;" min "&amp;TEXT(MOD(F98,60),"00")&amp;" s")</f>
        <v>3 min 20 s</v>
      </c>
      <c r="O98" s="6">
        <f t="shared" ref="O98:O129" si="26">IF(H98="","",H98*3.6)</f>
        <v>27.295200000000001</v>
      </c>
      <c r="P98" s="23">
        <f t="shared" ref="P98:P129" si="27">IF(I98="","",I98/1000)</f>
        <v>1.5088440000000001</v>
      </c>
      <c r="Q98" s="4">
        <f t="shared" ref="Q98:Q129" si="28">IFERROR(AVERAGEIFS($F:$F,$A:$A,"base",$B:$B,B98,$C:$C,C98,$D:$D,D98,$K:$K,TRUE,$L:$L,L98)/86400,"")</f>
        <v>2.3148148148148147E-3</v>
      </c>
      <c r="R98" s="31" t="str">
        <f t="shared" ref="R98:R129" si="29">IF(OR(A98&lt;&gt;"inteligente",K98&lt;&gt;TRUE,Q98=""),"",IF(Q98-F98/86400&lt;0,"-","")&amp;INT(ABS(Q98-F98/86400)*1440)&amp;" min "&amp;TEXT(MOD(ABS(Q98-F98/86400)*86400,60),"00")&amp;" s")</f>
        <v/>
      </c>
      <c r="S98" s="7" t="str">
        <f t="shared" ref="S98:S129" si="30">IF(OR(A98&lt;&gt;"inteligente",K98&lt;&gt;TRUE,Q98=""),"",(Q98-F98/86400)/Q98)</f>
        <v/>
      </c>
      <c r="T98" s="31" t="str">
        <f t="shared" ref="T98:T129" si="31">IF(K98&lt;&gt;TRUE,"No llega",IF(A98="base","Referencia",IF(S98="","Sin referencia",IF(S98&gt;0,"Mejora",IF(S98&lt;0,"Empeora","Igual")))))</f>
        <v>Referencia</v>
      </c>
    </row>
    <row r="99" spans="1:20" x14ac:dyDescent="0.3">
      <c r="A99" s="29" t="s">
        <v>13</v>
      </c>
      <c r="B99" s="29" t="s">
        <v>22</v>
      </c>
      <c r="C99" s="2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30" t="str">
        <f t="shared" si="24"/>
        <v>238829520 -&gt; 5990070#1 | t=500 | 11/07/2026 18:50</v>
      </c>
      <c r="N99" s="31" t="str">
        <f t="shared" si="25"/>
        <v>2 min 17 s</v>
      </c>
      <c r="O99" s="6">
        <f t="shared" si="26"/>
        <v>39.873600000000003</v>
      </c>
      <c r="P99" s="23">
        <f t="shared" si="27"/>
        <v>1.5063499999999999</v>
      </c>
      <c r="Q99" s="4">
        <f t="shared" si="28"/>
        <v>2.3148148148148147E-3</v>
      </c>
      <c r="R99" s="31" t="str">
        <f t="shared" si="29"/>
        <v>1 min 03 s</v>
      </c>
      <c r="S99" s="7">
        <f t="shared" si="30"/>
        <v>0.315</v>
      </c>
      <c r="T99" s="31" t="str">
        <f t="shared" si="31"/>
        <v>Mejora</v>
      </c>
    </row>
    <row r="100" spans="1:20" x14ac:dyDescent="0.3">
      <c r="A100" s="29" t="s">
        <v>12</v>
      </c>
      <c r="B100" s="29" t="s">
        <v>22</v>
      </c>
      <c r="C100" s="2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30" t="str">
        <f t="shared" si="24"/>
        <v>238829520 -&gt; 5990070#1 | t=500 | 24/07/2026 20:55</v>
      </c>
      <c r="N100" s="31" t="str">
        <f t="shared" si="25"/>
        <v>3 min 19 s</v>
      </c>
      <c r="O100" s="6">
        <f t="shared" si="26"/>
        <v>27.381599999999999</v>
      </c>
      <c r="P100" s="23">
        <f t="shared" si="27"/>
        <v>1.5060519999999999</v>
      </c>
      <c r="Q100" s="4">
        <f t="shared" si="28"/>
        <v>2.3032407407407407E-3</v>
      </c>
      <c r="R100" s="31" t="str">
        <f t="shared" si="29"/>
        <v/>
      </c>
      <c r="S100" s="7" t="str">
        <f t="shared" si="30"/>
        <v/>
      </c>
      <c r="T100" s="31" t="str">
        <f t="shared" si="31"/>
        <v>Referencia</v>
      </c>
    </row>
    <row r="101" spans="1:20" x14ac:dyDescent="0.3">
      <c r="A101" s="29" t="s">
        <v>13</v>
      </c>
      <c r="B101" s="29" t="s">
        <v>22</v>
      </c>
      <c r="C101" s="2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30" t="str">
        <f t="shared" si="24"/>
        <v>238829520 -&gt; 5990070#1 | t=500 | 24/07/2026 20:55</v>
      </c>
      <c r="N101" s="31" t="str">
        <f t="shared" si="25"/>
        <v>2 min 06 s</v>
      </c>
      <c r="O101" s="6">
        <f t="shared" si="26"/>
        <v>43.498800000000003</v>
      </c>
      <c r="P101" s="23">
        <f t="shared" si="27"/>
        <v>1.5104200000000001</v>
      </c>
      <c r="Q101" s="4">
        <f t="shared" si="28"/>
        <v>2.3032407407407407E-3</v>
      </c>
      <c r="R101" s="31" t="str">
        <f t="shared" si="29"/>
        <v>1 min 13 s</v>
      </c>
      <c r="S101" s="7">
        <f t="shared" si="30"/>
        <v>0.36683417085427134</v>
      </c>
      <c r="T101" s="31" t="str">
        <f t="shared" si="31"/>
        <v>Mejora</v>
      </c>
    </row>
    <row r="102" spans="1:20" x14ac:dyDescent="0.3">
      <c r="A102" s="29" t="s">
        <v>12</v>
      </c>
      <c r="B102" s="29" t="s">
        <v>22</v>
      </c>
      <c r="C102" s="2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30" t="str">
        <f t="shared" si="24"/>
        <v>238829520 -&gt; 5990070#1 | t=500 | 26/07/2026 12:15</v>
      </c>
      <c r="N102" s="31" t="str">
        <f t="shared" si="25"/>
        <v>3 min 19 s</v>
      </c>
      <c r="O102" s="6">
        <f t="shared" si="26"/>
        <v>27.403200000000002</v>
      </c>
      <c r="P102" s="23">
        <f t="shared" si="27"/>
        <v>1.507144</v>
      </c>
      <c r="Q102" s="4">
        <f t="shared" si="28"/>
        <v>2.3032407407407407E-3</v>
      </c>
      <c r="R102" s="31" t="str">
        <f t="shared" si="29"/>
        <v/>
      </c>
      <c r="S102" s="7" t="str">
        <f t="shared" si="30"/>
        <v/>
      </c>
      <c r="T102" s="31" t="str">
        <f t="shared" si="31"/>
        <v>Referencia</v>
      </c>
    </row>
    <row r="103" spans="1:20" x14ac:dyDescent="0.3">
      <c r="A103" s="29" t="s">
        <v>13</v>
      </c>
      <c r="B103" s="29" t="s">
        <v>22</v>
      </c>
      <c r="C103" s="2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30" t="str">
        <f t="shared" si="24"/>
        <v>238829520 -&gt; 5990070#1 | t=500 | 26/07/2026 12:20</v>
      </c>
      <c r="N103" s="31" t="str">
        <f t="shared" si="25"/>
        <v>2 min 10 s</v>
      </c>
      <c r="O103" s="6">
        <f t="shared" si="26"/>
        <v>42.130800000000001</v>
      </c>
      <c r="P103" s="23">
        <f t="shared" si="27"/>
        <v>1.5097389999999999</v>
      </c>
      <c r="Q103" s="4">
        <f t="shared" si="28"/>
        <v>2.3032407407407407E-3</v>
      </c>
      <c r="R103" s="31" t="str">
        <f t="shared" si="29"/>
        <v>1 min 09 s</v>
      </c>
      <c r="S103" s="7">
        <f t="shared" si="30"/>
        <v>0.34673366834170855</v>
      </c>
      <c r="T103" s="31" t="str">
        <f t="shared" si="31"/>
        <v>Mejora</v>
      </c>
    </row>
    <row r="104" spans="1:20" x14ac:dyDescent="0.3">
      <c r="A104" s="29" t="s">
        <v>12</v>
      </c>
      <c r="B104" s="29" t="s">
        <v>22</v>
      </c>
      <c r="C104" s="2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30" t="str">
        <f t="shared" si="24"/>
        <v>238829520 -&gt; 5990070#1 | t=500 | 26/07/2026 12:20</v>
      </c>
      <c r="N104" s="31" t="str">
        <f t="shared" si="25"/>
        <v>3 min 19 s</v>
      </c>
      <c r="O104" s="6">
        <f t="shared" si="26"/>
        <v>27.45</v>
      </c>
      <c r="P104" s="23">
        <f t="shared" si="27"/>
        <v>1.5097039999999999</v>
      </c>
      <c r="Q104" s="4">
        <f t="shared" si="28"/>
        <v>2.3032407407407407E-3</v>
      </c>
      <c r="R104" s="31" t="str">
        <f t="shared" si="29"/>
        <v/>
      </c>
      <c r="S104" s="7" t="str">
        <f t="shared" si="30"/>
        <v/>
      </c>
      <c r="T104" s="31" t="str">
        <f t="shared" si="31"/>
        <v>Referencia</v>
      </c>
    </row>
    <row r="105" spans="1:20" x14ac:dyDescent="0.3">
      <c r="A105" s="29" t="s">
        <v>13</v>
      </c>
      <c r="B105" s="29" t="s">
        <v>22</v>
      </c>
      <c r="C105" s="2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30" t="str">
        <f t="shared" si="24"/>
        <v>238829520 -&gt; 5990070#1 | t=500 | 26/07/2026 12:20</v>
      </c>
      <c r="N105" s="31" t="str">
        <f t="shared" si="25"/>
        <v>2 min 10 s</v>
      </c>
      <c r="O105" s="6">
        <f t="shared" si="26"/>
        <v>42.130800000000001</v>
      </c>
      <c r="P105" s="23">
        <f t="shared" si="27"/>
        <v>1.5097389999999999</v>
      </c>
      <c r="Q105" s="4">
        <f t="shared" si="28"/>
        <v>2.3032407407407407E-3</v>
      </c>
      <c r="R105" s="31" t="str">
        <f t="shared" si="29"/>
        <v>1 min 09 s</v>
      </c>
      <c r="S105" s="7">
        <f t="shared" si="30"/>
        <v>0.34673366834170855</v>
      </c>
      <c r="T105" s="31" t="str">
        <f t="shared" si="31"/>
        <v>Mejora</v>
      </c>
    </row>
    <row r="106" spans="1:20" x14ac:dyDescent="0.3">
      <c r="A106" s="29" t="s">
        <v>12</v>
      </c>
      <c r="B106" s="29" t="s">
        <v>22</v>
      </c>
      <c r="C106" s="2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30" t="str">
        <f t="shared" si="24"/>
        <v>238829520 -&gt; 5990070#1 | t=500 | 26/07/2026 12:45</v>
      </c>
      <c r="N106" s="31" t="str">
        <f t="shared" si="25"/>
        <v>3 min 19 s</v>
      </c>
      <c r="O106" s="6">
        <f t="shared" si="26"/>
        <v>27.414000000000001</v>
      </c>
      <c r="P106" s="23">
        <f t="shared" si="27"/>
        <v>1.507806</v>
      </c>
      <c r="Q106" s="4">
        <f t="shared" si="28"/>
        <v>2.3032407407407407E-3</v>
      </c>
      <c r="R106" s="31" t="str">
        <f t="shared" si="29"/>
        <v/>
      </c>
      <c r="S106" s="7" t="str">
        <f t="shared" si="30"/>
        <v/>
      </c>
      <c r="T106" s="31" t="str">
        <f t="shared" si="31"/>
        <v>Referencia</v>
      </c>
    </row>
    <row r="107" spans="1:20" x14ac:dyDescent="0.3">
      <c r="A107" s="29" t="s">
        <v>13</v>
      </c>
      <c r="B107" s="29" t="s">
        <v>22</v>
      </c>
      <c r="C107" s="2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30" t="str">
        <f t="shared" si="24"/>
        <v>238829520 -&gt; 5990070#1 | t=500 | 26/07/2026 12:45</v>
      </c>
      <c r="N107" s="31" t="str">
        <f t="shared" si="25"/>
        <v>2 min 09 s</v>
      </c>
      <c r="O107" s="6">
        <f t="shared" si="26"/>
        <v>42.39</v>
      </c>
      <c r="P107" s="23">
        <f t="shared" si="27"/>
        <v>1.5072190000000001</v>
      </c>
      <c r="Q107" s="4">
        <f t="shared" si="28"/>
        <v>2.3032407407407407E-3</v>
      </c>
      <c r="R107" s="31" t="str">
        <f t="shared" si="29"/>
        <v>1 min 10 s</v>
      </c>
      <c r="S107" s="7">
        <f t="shared" si="30"/>
        <v>0.35175879396984921</v>
      </c>
      <c r="T107" s="31" t="str">
        <f t="shared" si="31"/>
        <v>Mejora</v>
      </c>
    </row>
    <row r="108" spans="1:20" x14ac:dyDescent="0.3">
      <c r="A108" s="29" t="s">
        <v>12</v>
      </c>
      <c r="B108" s="29" t="s">
        <v>22</v>
      </c>
      <c r="C108" s="2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30" t="str">
        <f t="shared" si="24"/>
        <v>238829520 -&gt; 5990070#1 | t=500 | 26/07/2026 12:50</v>
      </c>
      <c r="N108" s="31" t="str">
        <f t="shared" si="25"/>
        <v>3 min 19 s</v>
      </c>
      <c r="O108" s="6">
        <f t="shared" si="26"/>
        <v>27.241200000000003</v>
      </c>
      <c r="P108" s="23">
        <f t="shared" si="27"/>
        <v>1.498205</v>
      </c>
      <c r="Q108" s="4">
        <f t="shared" si="28"/>
        <v>2.3032407407407407E-3</v>
      </c>
      <c r="R108" s="31" t="str">
        <f t="shared" si="29"/>
        <v/>
      </c>
      <c r="S108" s="7" t="str">
        <f t="shared" si="30"/>
        <v/>
      </c>
      <c r="T108" s="31" t="str">
        <f t="shared" si="31"/>
        <v>Referencia</v>
      </c>
    </row>
    <row r="109" spans="1:20" x14ac:dyDescent="0.3">
      <c r="A109" s="29" t="s">
        <v>13</v>
      </c>
      <c r="B109" s="29" t="s">
        <v>22</v>
      </c>
      <c r="C109" s="2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30" t="str">
        <f t="shared" si="24"/>
        <v>238829520 -&gt; 5990070#1 | t=500 | 26/07/2026 12:50</v>
      </c>
      <c r="N109" s="31" t="str">
        <f t="shared" si="25"/>
        <v>2 min 17 s</v>
      </c>
      <c r="O109" s="6">
        <f t="shared" si="26"/>
        <v>39.949199999999998</v>
      </c>
      <c r="P109" s="23">
        <f t="shared" si="27"/>
        <v>1.5092509999999999</v>
      </c>
      <c r="Q109" s="4">
        <f t="shared" si="28"/>
        <v>2.3032407407407407E-3</v>
      </c>
      <c r="R109" s="31" t="str">
        <f t="shared" si="29"/>
        <v>1 min 02 s</v>
      </c>
      <c r="S109" s="7">
        <f t="shared" si="30"/>
        <v>0.31155778894472363</v>
      </c>
      <c r="T109" s="31" t="str">
        <f t="shared" si="31"/>
        <v>Mejora</v>
      </c>
    </row>
    <row r="110" spans="1:20" x14ac:dyDescent="0.3">
      <c r="A110" s="29" t="s">
        <v>12</v>
      </c>
      <c r="B110" s="29" t="s">
        <v>22</v>
      </c>
      <c r="C110" s="29" t="s">
        <v>48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30" t="str">
        <f t="shared" si="24"/>
        <v>238829520 -&gt; 5990532 | t=500 | 26/07/2026 12:55</v>
      </c>
      <c r="N110" s="31" t="str">
        <f t="shared" si="25"/>
        <v>5 min 33 s</v>
      </c>
      <c r="O110" s="6">
        <f t="shared" si="26"/>
        <v>22.103999999999999</v>
      </c>
      <c r="P110" s="23">
        <f t="shared" si="27"/>
        <v>2.0385870000000001</v>
      </c>
      <c r="Q110" s="4">
        <f t="shared" si="28"/>
        <v>3.8541666666666668E-3</v>
      </c>
      <c r="R110" s="31" t="str">
        <f t="shared" si="29"/>
        <v/>
      </c>
      <c r="S110" s="7" t="str">
        <f t="shared" si="30"/>
        <v/>
      </c>
      <c r="T110" s="31" t="str">
        <f t="shared" si="31"/>
        <v>Referencia</v>
      </c>
    </row>
    <row r="111" spans="1:20" x14ac:dyDescent="0.3">
      <c r="A111" s="29" t="s">
        <v>13</v>
      </c>
      <c r="B111" s="29" t="s">
        <v>22</v>
      </c>
      <c r="C111" s="29" t="s">
        <v>48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30" t="str">
        <f t="shared" si="24"/>
        <v>238829520 -&gt; 5990532 | t=500 | 26/07/2026 12:55</v>
      </c>
      <c r="N111" s="31" t="str">
        <f t="shared" si="25"/>
        <v>5 min 24 s</v>
      </c>
      <c r="O111" s="6">
        <f t="shared" si="26"/>
        <v>22.608000000000001</v>
      </c>
      <c r="P111" s="23">
        <f t="shared" si="27"/>
        <v>2.0285669999999998</v>
      </c>
      <c r="Q111" s="4">
        <f t="shared" si="28"/>
        <v>3.8541666666666668E-3</v>
      </c>
      <c r="R111" s="31" t="str">
        <f t="shared" si="29"/>
        <v>0 min 09 s</v>
      </c>
      <c r="S111" s="7">
        <f t="shared" si="30"/>
        <v>2.7027027027027088E-2</v>
      </c>
      <c r="T111" s="31" t="str">
        <f t="shared" si="31"/>
        <v>Mejora</v>
      </c>
    </row>
    <row r="112" spans="1:20" x14ac:dyDescent="0.3">
      <c r="A112" s="29" t="s">
        <v>12</v>
      </c>
      <c r="B112" s="29" t="s">
        <v>22</v>
      </c>
      <c r="C112" s="29" t="s">
        <v>48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30" t="str">
        <f t="shared" si="24"/>
        <v>238829520 -&gt; 5990532 | t=500 | 26/07/2026 18:25</v>
      </c>
      <c r="N112" s="31" t="str">
        <f t="shared" si="25"/>
        <v>3 min 12 s</v>
      </c>
      <c r="O112" s="6">
        <f t="shared" si="26"/>
        <v>38.246400000000001</v>
      </c>
      <c r="P112" s="23">
        <f t="shared" si="27"/>
        <v>2.0291459999999999</v>
      </c>
      <c r="Q112" s="4">
        <f t="shared" si="28"/>
        <v>2.6909722222222222E-3</v>
      </c>
      <c r="R112" s="31" t="str">
        <f t="shared" si="29"/>
        <v/>
      </c>
      <c r="S112" s="7" t="str">
        <f t="shared" si="30"/>
        <v/>
      </c>
      <c r="T112" s="31" t="str">
        <f t="shared" si="31"/>
        <v>Referencia</v>
      </c>
    </row>
    <row r="113" spans="1:20" x14ac:dyDescent="0.3">
      <c r="A113" s="29" t="s">
        <v>13</v>
      </c>
      <c r="B113" s="29" t="s">
        <v>22</v>
      </c>
      <c r="C113" s="29" t="s">
        <v>48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30" t="str">
        <f t="shared" si="24"/>
        <v>238829520 -&gt; 5990532 | t=500 | 26/07/2026 18:25</v>
      </c>
      <c r="N113" s="31" t="str">
        <f t="shared" si="25"/>
        <v>2 min 48 s</v>
      </c>
      <c r="O113" s="6">
        <f t="shared" si="26"/>
        <v>43.754400000000004</v>
      </c>
      <c r="P113" s="23">
        <f t="shared" si="27"/>
        <v>2.029792</v>
      </c>
      <c r="Q113" s="4">
        <f t="shared" si="28"/>
        <v>2.6909722222222222E-3</v>
      </c>
      <c r="R113" s="31" t="str">
        <f t="shared" si="29"/>
        <v>1 min 05 s</v>
      </c>
      <c r="S113" s="7">
        <f t="shared" si="30"/>
        <v>0.27741935483870972</v>
      </c>
      <c r="T113" s="31" t="str">
        <f t="shared" si="31"/>
        <v>Mejora</v>
      </c>
    </row>
    <row r="114" spans="1:20" x14ac:dyDescent="0.3">
      <c r="A114" s="29" t="s">
        <v>12</v>
      </c>
      <c r="B114" s="29" t="s">
        <v>22</v>
      </c>
      <c r="C114" s="29" t="s">
        <v>48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30" t="str">
        <f t="shared" si="24"/>
        <v>238829520 -&gt; 5990532 | t=500 | 26/07/2026 18:25</v>
      </c>
      <c r="N114" s="31" t="str">
        <f t="shared" si="25"/>
        <v>4 min 33 s</v>
      </c>
      <c r="O114" s="6">
        <f t="shared" si="26"/>
        <v>27</v>
      </c>
      <c r="P114" s="23">
        <f t="shared" si="27"/>
        <v>2.0400899999999997</v>
      </c>
      <c r="Q114" s="4">
        <f t="shared" si="28"/>
        <v>2.6909722222222222E-3</v>
      </c>
      <c r="R114" s="31" t="str">
        <f t="shared" si="29"/>
        <v/>
      </c>
      <c r="S114" s="7" t="str">
        <f t="shared" si="30"/>
        <v/>
      </c>
      <c r="T114" s="31" t="str">
        <f t="shared" si="31"/>
        <v>Referencia</v>
      </c>
    </row>
    <row r="115" spans="1:20" x14ac:dyDescent="0.3">
      <c r="A115" s="29" t="s">
        <v>13</v>
      </c>
      <c r="B115" s="29" t="s">
        <v>22</v>
      </c>
      <c r="C115" s="29" t="s">
        <v>48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30" t="str">
        <f t="shared" si="24"/>
        <v>238829520 -&gt; 5990532 | t=500 | 26/07/2026 18:25</v>
      </c>
      <c r="N115" s="31" t="str">
        <f t="shared" si="25"/>
        <v>3 min 16 s</v>
      </c>
      <c r="O115" s="6">
        <f t="shared" si="26"/>
        <v>37.497600000000006</v>
      </c>
      <c r="P115" s="23">
        <f t="shared" si="27"/>
        <v>2.0311880000000002</v>
      </c>
      <c r="Q115" s="4">
        <f t="shared" si="28"/>
        <v>2.6909722222222222E-3</v>
      </c>
      <c r="R115" s="31" t="str">
        <f t="shared" si="29"/>
        <v>0 min 37 s</v>
      </c>
      <c r="S115" s="7">
        <f t="shared" si="30"/>
        <v>0.1569892473118279</v>
      </c>
      <c r="T115" s="31" t="str">
        <f t="shared" si="31"/>
        <v>Mejora</v>
      </c>
    </row>
    <row r="116" spans="1:20" x14ac:dyDescent="0.3">
      <c r="A116" s="29" t="s">
        <v>12</v>
      </c>
      <c r="B116" s="29" t="s">
        <v>22</v>
      </c>
      <c r="C116" s="29" t="s">
        <v>48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30" t="str">
        <f t="shared" si="24"/>
        <v>238829520 -&gt; 5990532 | t=500 | 27/07/2026 17:45</v>
      </c>
      <c r="N116" s="31" t="str">
        <f t="shared" si="25"/>
        <v>3 min 40 s</v>
      </c>
      <c r="O116" s="6">
        <f t="shared" si="26"/>
        <v>33.3504</v>
      </c>
      <c r="P116" s="23">
        <f t="shared" si="27"/>
        <v>2.028915</v>
      </c>
      <c r="Q116" s="4">
        <f t="shared" si="28"/>
        <v>2.5462962962962965E-3</v>
      </c>
      <c r="R116" s="31" t="str">
        <f t="shared" si="29"/>
        <v/>
      </c>
      <c r="S116" s="7" t="str">
        <f t="shared" si="30"/>
        <v/>
      </c>
      <c r="T116" s="31" t="str">
        <f t="shared" si="31"/>
        <v>Referencia</v>
      </c>
    </row>
    <row r="117" spans="1:20" x14ac:dyDescent="0.3">
      <c r="A117" s="29" t="s">
        <v>13</v>
      </c>
      <c r="B117" s="29" t="s">
        <v>22</v>
      </c>
      <c r="C117" s="29" t="s">
        <v>48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30" t="str">
        <f t="shared" si="24"/>
        <v>238829520 -&gt; 5990532 | t=500 | 27/07/2026 17:50</v>
      </c>
      <c r="N117" s="31" t="str">
        <f t="shared" si="25"/>
        <v>2 min 38 s</v>
      </c>
      <c r="O117" s="6">
        <f t="shared" si="26"/>
        <v>46.623600000000003</v>
      </c>
      <c r="P117" s="23">
        <f t="shared" si="27"/>
        <v>2.0333489999999999</v>
      </c>
      <c r="Q117" s="4">
        <f t="shared" si="28"/>
        <v>2.1990740740740742E-3</v>
      </c>
      <c r="R117" s="31" t="str">
        <f t="shared" si="29"/>
        <v>0 min 32 s</v>
      </c>
      <c r="S117" s="7">
        <f t="shared" si="30"/>
        <v>0.168421052631579</v>
      </c>
      <c r="T117" s="31" t="str">
        <f t="shared" si="31"/>
        <v>Mejora</v>
      </c>
    </row>
    <row r="118" spans="1:20" x14ac:dyDescent="0.3">
      <c r="A118" s="29" t="s">
        <v>12</v>
      </c>
      <c r="B118" s="29" t="s">
        <v>22</v>
      </c>
      <c r="C118" s="29" t="s">
        <v>48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30" t="str">
        <f t="shared" si="24"/>
        <v>238829520 -&gt; 5990532 | t=700 | 27/07/2026 17:50</v>
      </c>
      <c r="N118" s="31" t="str">
        <f t="shared" si="25"/>
        <v>4 min 32 s</v>
      </c>
      <c r="O118" s="6">
        <f t="shared" si="26"/>
        <v>27.108000000000001</v>
      </c>
      <c r="P118" s="23">
        <f t="shared" si="27"/>
        <v>2.0405009999999999</v>
      </c>
      <c r="Q118" s="4">
        <f t="shared" si="28"/>
        <v>3.1481481481481482E-3</v>
      </c>
      <c r="R118" s="31" t="str">
        <f t="shared" si="29"/>
        <v/>
      </c>
      <c r="S118" s="7" t="str">
        <f t="shared" si="30"/>
        <v/>
      </c>
      <c r="T118" s="31" t="str">
        <f t="shared" si="31"/>
        <v>Referencia</v>
      </c>
    </row>
    <row r="119" spans="1:20" x14ac:dyDescent="0.3">
      <c r="A119" s="29" t="s">
        <v>13</v>
      </c>
      <c r="B119" s="29" t="s">
        <v>22</v>
      </c>
      <c r="C119" s="29" t="s">
        <v>48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30" t="str">
        <f t="shared" si="24"/>
        <v>238829520 -&gt; 5990532 | t=700 | 27/07/2026 17:50</v>
      </c>
      <c r="N119" s="31" t="str">
        <f t="shared" si="25"/>
        <v>4 min 39 s</v>
      </c>
      <c r="O119" s="6">
        <f t="shared" si="26"/>
        <v>26.4132</v>
      </c>
      <c r="P119" s="23">
        <f t="shared" si="27"/>
        <v>2.0395940000000001</v>
      </c>
      <c r="Q119" s="4">
        <f t="shared" si="28"/>
        <v>3.1481481481481482E-3</v>
      </c>
      <c r="R119" s="31" t="str">
        <f t="shared" si="29"/>
        <v>-0 min 07 s</v>
      </c>
      <c r="S119" s="7">
        <f t="shared" si="30"/>
        <v>-2.573529411764704E-2</v>
      </c>
      <c r="T119" s="31" t="str">
        <f t="shared" si="31"/>
        <v>Empeora</v>
      </c>
    </row>
    <row r="120" spans="1:20" x14ac:dyDescent="0.3">
      <c r="A120" s="29" t="s">
        <v>12</v>
      </c>
      <c r="B120" s="29" t="s">
        <v>22</v>
      </c>
      <c r="C120" s="29" t="s">
        <v>48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30" t="str">
        <f t="shared" si="24"/>
        <v>238829520 -&gt; 5990532 | t=500 | 27/07/2026 17:50</v>
      </c>
      <c r="N120" s="31" t="str">
        <f t="shared" si="25"/>
        <v>3 min 10 s</v>
      </c>
      <c r="O120" s="6">
        <f t="shared" si="26"/>
        <v>38.703600000000002</v>
      </c>
      <c r="P120" s="23">
        <f t="shared" si="27"/>
        <v>2.0319099999999999</v>
      </c>
      <c r="Q120" s="4">
        <f t="shared" si="28"/>
        <v>2.1990740740740742E-3</v>
      </c>
      <c r="R120" s="31" t="str">
        <f t="shared" si="29"/>
        <v/>
      </c>
      <c r="S120" s="7" t="str">
        <f t="shared" si="30"/>
        <v/>
      </c>
      <c r="T120" s="31" t="str">
        <f t="shared" si="31"/>
        <v>Referencia</v>
      </c>
    </row>
    <row r="121" spans="1:20" x14ac:dyDescent="0.3">
      <c r="A121" s="29" t="s">
        <v>13</v>
      </c>
      <c r="B121" s="29" t="s">
        <v>22</v>
      </c>
      <c r="C121" s="29" t="s">
        <v>48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30" t="str">
        <f t="shared" si="24"/>
        <v>238829520 -&gt; 5990532 | t=500 | 27/07/2026 17:50</v>
      </c>
      <c r="N121" s="31" t="str">
        <f t="shared" si="25"/>
        <v>2 min 38 s</v>
      </c>
      <c r="O121" s="6">
        <f t="shared" si="26"/>
        <v>46.623600000000003</v>
      </c>
      <c r="P121" s="23">
        <f t="shared" si="27"/>
        <v>2.0333489999999999</v>
      </c>
      <c r="Q121" s="4">
        <f t="shared" si="28"/>
        <v>2.1990740740740742E-3</v>
      </c>
      <c r="R121" s="31" t="str">
        <f t="shared" si="29"/>
        <v>0 min 32 s</v>
      </c>
      <c r="S121" s="7">
        <f t="shared" si="30"/>
        <v>0.168421052631579</v>
      </c>
      <c r="T121" s="31" t="str">
        <f t="shared" si="31"/>
        <v>Mejora</v>
      </c>
    </row>
    <row r="122" spans="1:20" x14ac:dyDescent="0.3">
      <c r="A122" s="29" t="s">
        <v>12</v>
      </c>
      <c r="B122" s="29" t="s">
        <v>22</v>
      </c>
      <c r="C122" s="29" t="s">
        <v>48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30" t="str">
        <f t="shared" si="24"/>
        <v>238829520 -&gt; 5990532 | t=2000 | 27/07/2026 18:05</v>
      </c>
      <c r="N122" s="31" t="str">
        <f t="shared" si="25"/>
        <v>6 min 41 s</v>
      </c>
      <c r="O122" s="6">
        <f t="shared" si="26"/>
        <v>18.280800000000003</v>
      </c>
      <c r="P122" s="23">
        <f t="shared" si="27"/>
        <v>2.0311669999999999</v>
      </c>
      <c r="Q122" s="4">
        <f t="shared" si="28"/>
        <v>4.6412037037037038E-3</v>
      </c>
      <c r="R122" s="31" t="str">
        <f t="shared" si="29"/>
        <v/>
      </c>
      <c r="S122" s="7" t="str">
        <f t="shared" si="30"/>
        <v/>
      </c>
      <c r="T122" s="31" t="str">
        <f t="shared" si="31"/>
        <v>Referencia</v>
      </c>
    </row>
    <row r="123" spans="1:20" x14ac:dyDescent="0.3">
      <c r="A123" s="29" t="s">
        <v>13</v>
      </c>
      <c r="B123" s="29" t="s">
        <v>22</v>
      </c>
      <c r="C123" s="29" t="s">
        <v>48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30" t="str">
        <f t="shared" si="24"/>
        <v>238829520 -&gt; 5990532 | t=2000 | 27/07/2026 18:05</v>
      </c>
      <c r="N123" s="31" t="str">
        <f t="shared" si="25"/>
        <v>5 min 44 s</v>
      </c>
      <c r="O123" s="6">
        <f t="shared" si="26"/>
        <v>21.3048</v>
      </c>
      <c r="P123" s="23">
        <f t="shared" si="27"/>
        <v>2.0299300000000002</v>
      </c>
      <c r="Q123" s="4">
        <f t="shared" si="28"/>
        <v>4.6412037037037038E-3</v>
      </c>
      <c r="R123" s="31" t="str">
        <f t="shared" si="29"/>
        <v>0 min 57 s</v>
      </c>
      <c r="S123" s="7">
        <f t="shared" si="30"/>
        <v>0.14214463840399</v>
      </c>
      <c r="T123" s="31" t="str">
        <f t="shared" si="31"/>
        <v>Mejora</v>
      </c>
    </row>
    <row r="124" spans="1:20" x14ac:dyDescent="0.3">
      <c r="A124" s="29" t="s">
        <v>12</v>
      </c>
      <c r="B124" s="29" t="s">
        <v>22</v>
      </c>
      <c r="C124" s="29" t="s">
        <v>48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30" t="str">
        <f t="shared" si="24"/>
        <v>238829520 -&gt; 5990532 | t=1500 | 27/07/2026 18:05</v>
      </c>
      <c r="N124" s="31" t="str">
        <f t="shared" si="25"/>
        <v>10 min 31 s</v>
      </c>
      <c r="O124" s="6">
        <f t="shared" si="26"/>
        <v>11.645999999999999</v>
      </c>
      <c r="P124" s="23">
        <f t="shared" si="27"/>
        <v>2.0381300000000002</v>
      </c>
      <c r="Q124" s="4">
        <f t="shared" si="28"/>
        <v>7.3032407407407404E-3</v>
      </c>
      <c r="R124" s="31" t="str">
        <f t="shared" si="29"/>
        <v/>
      </c>
      <c r="S124" s="7" t="str">
        <f t="shared" si="30"/>
        <v/>
      </c>
      <c r="T124" s="31" t="str">
        <f t="shared" si="31"/>
        <v>Referencia</v>
      </c>
    </row>
    <row r="125" spans="1:20" x14ac:dyDescent="0.3">
      <c r="A125" s="29" t="s">
        <v>13</v>
      </c>
      <c r="B125" s="29" t="s">
        <v>22</v>
      </c>
      <c r="C125" s="29" t="s">
        <v>48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30" t="str">
        <f t="shared" si="24"/>
        <v>238829520 -&gt; 5990532 | t=1500 | 27/07/2026 18:05</v>
      </c>
      <c r="N125" s="31" t="str">
        <f t="shared" si="25"/>
        <v>9 min 49 s</v>
      </c>
      <c r="O125" s="6">
        <f t="shared" si="26"/>
        <v>12.492000000000001</v>
      </c>
      <c r="P125" s="23">
        <f t="shared" si="27"/>
        <v>2.0403560000000001</v>
      </c>
      <c r="Q125" s="4">
        <f t="shared" si="28"/>
        <v>7.3032407407407404E-3</v>
      </c>
      <c r="R125" s="31" t="str">
        <f t="shared" si="29"/>
        <v>0 min 42 s</v>
      </c>
      <c r="S125" s="7">
        <f t="shared" si="30"/>
        <v>6.6561014263074439E-2</v>
      </c>
      <c r="T125" s="31" t="str">
        <f t="shared" si="31"/>
        <v>Mejora</v>
      </c>
    </row>
    <row r="126" spans="1:20" x14ac:dyDescent="0.3">
      <c r="A126" s="29" t="s">
        <v>12</v>
      </c>
      <c r="B126" s="29" t="s">
        <v>22</v>
      </c>
      <c r="C126" s="29" t="s">
        <v>48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30" t="str">
        <f t="shared" si="24"/>
        <v>238829520 -&gt; 5990532 | t=500 | 27/07/2026 18:15</v>
      </c>
      <c r="N126" s="31" t="str">
        <f t="shared" si="25"/>
        <v>4 min 02 s</v>
      </c>
      <c r="O126" s="6">
        <f t="shared" si="26"/>
        <v>30.430799999999998</v>
      </c>
      <c r="P126" s="23">
        <f t="shared" si="27"/>
        <v>2.0372810000000001</v>
      </c>
      <c r="Q126" s="4">
        <f t="shared" si="28"/>
        <v>2.8009259259259259E-3</v>
      </c>
      <c r="R126" s="31" t="str">
        <f t="shared" si="29"/>
        <v/>
      </c>
      <c r="S126" s="7" t="str">
        <f t="shared" si="30"/>
        <v/>
      </c>
      <c r="T126" s="31" t="str">
        <f t="shared" si="31"/>
        <v>Referencia</v>
      </c>
    </row>
    <row r="127" spans="1:20" x14ac:dyDescent="0.3">
      <c r="A127" s="29" t="s">
        <v>13</v>
      </c>
      <c r="B127" s="29" t="s">
        <v>22</v>
      </c>
      <c r="C127" s="29" t="s">
        <v>48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30" t="str">
        <f t="shared" si="24"/>
        <v>238829520 -&gt; 5990532 | t=500 | 27/07/2026 18:15</v>
      </c>
      <c r="N127" s="31" t="str">
        <f t="shared" si="25"/>
        <v>3 min 29 s</v>
      </c>
      <c r="O127" s="6">
        <f t="shared" si="26"/>
        <v>35.262</v>
      </c>
      <c r="P127" s="23">
        <f t="shared" si="27"/>
        <v>2.0373480000000002</v>
      </c>
      <c r="Q127" s="4">
        <f t="shared" si="28"/>
        <v>2.8009259259259259E-3</v>
      </c>
      <c r="R127" s="31" t="str">
        <f t="shared" si="29"/>
        <v>0 min 33 s</v>
      </c>
      <c r="S127" s="7">
        <f t="shared" si="30"/>
        <v>0.13636363636363633</v>
      </c>
      <c r="T127" s="31" t="str">
        <f t="shared" si="31"/>
        <v>Mejora</v>
      </c>
    </row>
    <row r="128" spans="1:20" x14ac:dyDescent="0.3">
      <c r="A128" s="29" t="s">
        <v>12</v>
      </c>
      <c r="B128" s="29" t="s">
        <v>22</v>
      </c>
      <c r="C128" s="29" t="s">
        <v>48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30" t="str">
        <f t="shared" si="24"/>
        <v>238829520 -&gt; 5990532 | t=500 | 27/07/2026 18:30</v>
      </c>
      <c r="N128" s="31" t="str">
        <f t="shared" si="25"/>
        <v>4 min 48 s</v>
      </c>
      <c r="O128" s="6">
        <f t="shared" si="26"/>
        <v>25.513200000000001</v>
      </c>
      <c r="P128" s="23">
        <f t="shared" si="27"/>
        <v>2.0340940000000001</v>
      </c>
      <c r="Q128" s="4">
        <f t="shared" si="28"/>
        <v>3.3333333333333335E-3</v>
      </c>
      <c r="R128" s="31" t="str">
        <f t="shared" si="29"/>
        <v/>
      </c>
      <c r="S128" s="7" t="str">
        <f t="shared" si="30"/>
        <v/>
      </c>
      <c r="T128" s="31" t="str">
        <f t="shared" si="31"/>
        <v>Referencia</v>
      </c>
    </row>
    <row r="129" spans="1:20" x14ac:dyDescent="0.3">
      <c r="A129" s="29" t="s">
        <v>13</v>
      </c>
      <c r="B129" s="29" t="s">
        <v>22</v>
      </c>
      <c r="C129" s="29" t="s">
        <v>48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30" t="str">
        <f t="shared" si="24"/>
        <v>238829520 -&gt; 5990532 | t=500 | 27/07/2026 18:30</v>
      </c>
      <c r="N129" s="31" t="str">
        <f t="shared" si="25"/>
        <v>3 min 28 s</v>
      </c>
      <c r="O129" s="6">
        <f t="shared" si="26"/>
        <v>35.355600000000003</v>
      </c>
      <c r="P129" s="23">
        <f t="shared" si="27"/>
        <v>2.0328949999999999</v>
      </c>
      <c r="Q129" s="4">
        <f t="shared" si="28"/>
        <v>3.3333333333333335E-3</v>
      </c>
      <c r="R129" s="31" t="str">
        <f t="shared" si="29"/>
        <v>1 min 20 s</v>
      </c>
      <c r="S129" s="7">
        <f t="shared" si="30"/>
        <v>0.27777777777777779</v>
      </c>
      <c r="T129" s="31" t="str">
        <f t="shared" si="31"/>
        <v>Mejora</v>
      </c>
    </row>
    <row r="130" spans="1:20" x14ac:dyDescent="0.3">
      <c r="A130" s="29" t="s">
        <v>12</v>
      </c>
      <c r="B130" s="29" t="s">
        <v>22</v>
      </c>
      <c r="C130" s="2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30" t="str">
        <f t="shared" ref="M130:M161" si="32">B130&amp;" -&gt; "&amp;C130&amp;" | t="&amp;D130&amp;" | "&amp;TEXT(L130,"dd/mm/aaaa hh:mm")</f>
        <v>238829520 -&gt; 5990070#1 | t=500 | 27/07/2026 18:35</v>
      </c>
      <c r="N130" s="31" t="str">
        <f t="shared" ref="N130:N159" si="33">IF(F130="","",INT(F130/60)&amp;" min "&amp;TEXT(MOD(F130,60),"00")&amp;" s")</f>
        <v>3 min 20 s</v>
      </c>
      <c r="O130" s="6">
        <f t="shared" ref="O130:O159" si="34">IF(H130="","",H130*3.6)</f>
        <v>27.3276</v>
      </c>
      <c r="P130" s="23">
        <f t="shared" ref="P130:P159" si="35">IF(I130="","",I130/1000)</f>
        <v>1.5105150000000001</v>
      </c>
      <c r="Q130" s="4">
        <f t="shared" ref="Q130:Q159" si="36">IFERROR(AVERAGEIFS($F:$F,$A:$A,"base",$B:$B,B130,$C:$C,C130,$D:$D,D130,$K:$K,TRUE,$L:$L,L130)/86400,"")</f>
        <v>2.3148148148148147E-3</v>
      </c>
      <c r="R130" s="31" t="str">
        <f t="shared" ref="R130:R161" si="37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59" si="38">IF(OR(A130&lt;&gt;"inteligente",K130&lt;&gt;TRUE,Q130=""),"",(Q130-F130/86400)/Q130)</f>
        <v/>
      </c>
      <c r="T130" s="31" t="str">
        <f t="shared" ref="T130:T161" si="39">IF(K130&lt;&gt;TRUE,"No llega",IF(A130="base","Referencia",IF(S130="","Sin referencia",IF(S130&gt;0,"Mejora",IF(S130&lt;0,"Empeora","Igual")))))</f>
        <v>Referencia</v>
      </c>
    </row>
    <row r="131" spans="1:20" x14ac:dyDescent="0.3">
      <c r="A131" s="29" t="s">
        <v>13</v>
      </c>
      <c r="B131" s="29" t="s">
        <v>22</v>
      </c>
      <c r="C131" s="2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30" t="str">
        <f t="shared" si="32"/>
        <v>238829520 -&gt; 5990070#1 | t=500 | 27/07/2026 18:35</v>
      </c>
      <c r="N131" s="31" t="str">
        <f t="shared" si="33"/>
        <v>2 min 15 s</v>
      </c>
      <c r="O131" s="6">
        <f t="shared" si="34"/>
        <v>40.5396</v>
      </c>
      <c r="P131" s="23">
        <f t="shared" si="35"/>
        <v>1.508999</v>
      </c>
      <c r="Q131" s="4">
        <f t="shared" si="36"/>
        <v>2.3148148148148147E-3</v>
      </c>
      <c r="R131" s="31" t="str">
        <f t="shared" si="37"/>
        <v>1 min 05 s</v>
      </c>
      <c r="S131" s="7">
        <f t="shared" si="38"/>
        <v>0.3249999999999999</v>
      </c>
      <c r="T131" s="31" t="str">
        <f t="shared" si="39"/>
        <v>Mejora</v>
      </c>
    </row>
    <row r="132" spans="1:20" x14ac:dyDescent="0.3">
      <c r="A132" s="29" t="s">
        <v>12</v>
      </c>
      <c r="B132" s="29" t="s">
        <v>22</v>
      </c>
      <c r="C132" s="2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30" t="str">
        <f t="shared" si="32"/>
        <v>238829520 -&gt; 5989317 | t=500 | 27/07/2026 18:35</v>
      </c>
      <c r="N132" s="31" t="str">
        <f t="shared" si="33"/>
        <v>2 min 51 s</v>
      </c>
      <c r="O132" s="6">
        <f t="shared" si="34"/>
        <v>38.923200000000001</v>
      </c>
      <c r="P132" s="23">
        <f t="shared" si="35"/>
        <v>1.83799</v>
      </c>
      <c r="Q132" s="4">
        <f t="shared" si="36"/>
        <v>1.9791666666666668E-3</v>
      </c>
      <c r="R132" s="31" t="str">
        <f t="shared" si="37"/>
        <v/>
      </c>
      <c r="S132" s="7" t="str">
        <f t="shared" si="38"/>
        <v/>
      </c>
      <c r="T132" s="31" t="str">
        <f t="shared" si="39"/>
        <v>Referencia</v>
      </c>
    </row>
    <row r="133" spans="1:20" x14ac:dyDescent="0.3">
      <c r="A133" s="29" t="s">
        <v>13</v>
      </c>
      <c r="B133" s="29" t="s">
        <v>22</v>
      </c>
      <c r="C133" s="2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30" t="str">
        <f t="shared" si="32"/>
        <v>238829520 -&gt; 5989317 | t=500 | 27/07/2026 18:40</v>
      </c>
      <c r="N133" s="31" t="str">
        <f t="shared" si="33"/>
        <v>8 min 05 s</v>
      </c>
      <c r="O133" s="6">
        <f t="shared" si="34"/>
        <v>13.730400000000001</v>
      </c>
      <c r="P133" s="23">
        <f t="shared" si="35"/>
        <v>1.8459680000000001</v>
      </c>
      <c r="Q133" s="4" t="str">
        <f t="shared" si="36"/>
        <v/>
      </c>
      <c r="R133" s="31" t="str">
        <f t="shared" si="37"/>
        <v/>
      </c>
      <c r="S133" s="7" t="str">
        <f t="shared" si="38"/>
        <v/>
      </c>
      <c r="T133" s="31" t="str">
        <f t="shared" si="39"/>
        <v>Sin referencia</v>
      </c>
    </row>
    <row r="134" spans="1:20" x14ac:dyDescent="0.3">
      <c r="A134" s="29" t="s">
        <v>12</v>
      </c>
      <c r="B134" s="29" t="s">
        <v>22</v>
      </c>
      <c r="C134" s="2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30" t="str">
        <f t="shared" si="32"/>
        <v>238829520 -&gt; 5989317 | t=500 | 27/07/2026 18:45</v>
      </c>
      <c r="N134" s="31" t="str">
        <f t="shared" si="33"/>
        <v>2 min 52 s</v>
      </c>
      <c r="O134" s="6">
        <f t="shared" si="34"/>
        <v>38.912399999999998</v>
      </c>
      <c r="P134" s="23">
        <f t="shared" si="35"/>
        <v>1.8483750000000001</v>
      </c>
      <c r="Q134" s="4">
        <f t="shared" si="36"/>
        <v>1.9907407407407408E-3</v>
      </c>
      <c r="R134" s="31" t="str">
        <f t="shared" si="37"/>
        <v/>
      </c>
      <c r="S134" s="7" t="str">
        <f t="shared" si="38"/>
        <v/>
      </c>
      <c r="T134" s="31" t="str">
        <f t="shared" si="39"/>
        <v>Referencia</v>
      </c>
    </row>
    <row r="135" spans="1:20" x14ac:dyDescent="0.3">
      <c r="A135" s="29" t="s">
        <v>13</v>
      </c>
      <c r="B135" s="29" t="s">
        <v>22</v>
      </c>
      <c r="C135" s="2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30" t="str">
        <f t="shared" si="32"/>
        <v>238829520 -&gt; 5989317 | t=500 | 27/07/2026 18:45</v>
      </c>
      <c r="N135" s="31" t="str">
        <f t="shared" si="33"/>
        <v>2 min 21 s</v>
      </c>
      <c r="O135" s="6">
        <f t="shared" si="34"/>
        <v>47.231999999999999</v>
      </c>
      <c r="P135" s="23">
        <f t="shared" si="35"/>
        <v>1.836856</v>
      </c>
      <c r="Q135" s="4">
        <f t="shared" si="36"/>
        <v>1.9907407407407408E-3</v>
      </c>
      <c r="R135" s="31" t="str">
        <f t="shared" si="37"/>
        <v>0 min 31 s</v>
      </c>
      <c r="S135" s="7">
        <f t="shared" si="38"/>
        <v>0.18023255813953487</v>
      </c>
      <c r="T135" s="31" t="str">
        <f t="shared" si="39"/>
        <v>Mejora</v>
      </c>
    </row>
    <row r="136" spans="1:20" x14ac:dyDescent="0.3">
      <c r="A136" s="29" t="s">
        <v>12</v>
      </c>
      <c r="B136" s="29" t="s">
        <v>22</v>
      </c>
      <c r="C136" s="2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30" t="str">
        <f t="shared" si="32"/>
        <v>238829520 -&gt; 5989317 | t=500 | 27/07/2026 18:50</v>
      </c>
      <c r="N136" s="31" t="str">
        <f t="shared" si="33"/>
        <v>2 min 52 s</v>
      </c>
      <c r="O136" s="6">
        <f t="shared" si="34"/>
        <v>38.933999999999997</v>
      </c>
      <c r="P136" s="23">
        <f t="shared" si="35"/>
        <v>1.8494010000000001</v>
      </c>
      <c r="Q136" s="4">
        <f t="shared" si="36"/>
        <v>1.9907407407407408E-3</v>
      </c>
      <c r="R136" s="31" t="str">
        <f t="shared" si="37"/>
        <v/>
      </c>
      <c r="S136" s="7" t="str">
        <f t="shared" si="38"/>
        <v/>
      </c>
      <c r="T136" s="31" t="str">
        <f t="shared" si="39"/>
        <v>Referencia</v>
      </c>
    </row>
    <row r="137" spans="1:20" x14ac:dyDescent="0.3">
      <c r="A137" s="29" t="s">
        <v>13</v>
      </c>
      <c r="B137" s="29" t="s">
        <v>22</v>
      </c>
      <c r="C137" s="2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30" t="str">
        <f t="shared" si="32"/>
        <v>238829520 -&gt; 5989317 | t=500 | 27/07/2026 18:50</v>
      </c>
      <c r="N137" s="31" t="str">
        <f t="shared" si="33"/>
        <v>2 min 21 s</v>
      </c>
      <c r="O137" s="6">
        <f t="shared" si="34"/>
        <v>47.278799999999997</v>
      </c>
      <c r="P137" s="23">
        <f t="shared" si="35"/>
        <v>1.83867</v>
      </c>
      <c r="Q137" s="4">
        <f t="shared" si="36"/>
        <v>1.9907407407407408E-3</v>
      </c>
      <c r="R137" s="31" t="str">
        <f t="shared" si="37"/>
        <v>0 min 31 s</v>
      </c>
      <c r="S137" s="7">
        <f t="shared" si="38"/>
        <v>0.18023255813953487</v>
      </c>
      <c r="T137" s="31" t="str">
        <f t="shared" si="39"/>
        <v>Mejora</v>
      </c>
    </row>
    <row r="138" spans="1:20" x14ac:dyDescent="0.3">
      <c r="A138" s="29" t="s">
        <v>12</v>
      </c>
      <c r="B138" s="29" t="s">
        <v>22</v>
      </c>
      <c r="C138" s="29" t="s">
        <v>49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30" t="str">
        <f t="shared" si="32"/>
        <v>238829520 -&gt; 31262308 | t=500 | 27/07/2026 18:55</v>
      </c>
      <c r="N138" s="31" t="str">
        <f t="shared" si="33"/>
        <v>4 min 56 s</v>
      </c>
      <c r="O138" s="6">
        <f t="shared" si="34"/>
        <v>24.796800000000001</v>
      </c>
      <c r="P138" s="23">
        <f t="shared" si="35"/>
        <v>2.0319570000000002</v>
      </c>
      <c r="Q138" s="4">
        <f t="shared" si="36"/>
        <v>3.425925925925926E-3</v>
      </c>
      <c r="R138" s="31" t="str">
        <f t="shared" si="37"/>
        <v/>
      </c>
      <c r="S138" s="7" t="str">
        <f t="shared" si="38"/>
        <v/>
      </c>
      <c r="T138" s="31" t="str">
        <f t="shared" si="39"/>
        <v>Referencia</v>
      </c>
    </row>
    <row r="139" spans="1:20" x14ac:dyDescent="0.3">
      <c r="A139" s="29" t="s">
        <v>13</v>
      </c>
      <c r="B139" s="29" t="s">
        <v>22</v>
      </c>
      <c r="C139" s="29" t="s">
        <v>49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30" t="str">
        <f t="shared" si="32"/>
        <v>238829520 -&gt; 31262308 | t=500 | 27/07/2026 18:55</v>
      </c>
      <c r="N139" s="31" t="str">
        <f t="shared" si="33"/>
        <v>4 min 27 s</v>
      </c>
      <c r="O139" s="6">
        <f t="shared" si="34"/>
        <v>27.3672</v>
      </c>
      <c r="P139" s="23">
        <f t="shared" si="35"/>
        <v>2.0220630000000002</v>
      </c>
      <c r="Q139" s="4">
        <f t="shared" si="36"/>
        <v>3.425925925925926E-3</v>
      </c>
      <c r="R139" s="31" t="str">
        <f t="shared" si="37"/>
        <v>0 min 29 s</v>
      </c>
      <c r="S139" s="7">
        <f t="shared" si="38"/>
        <v>9.7972972972973013E-2</v>
      </c>
      <c r="T139" s="31" t="str">
        <f t="shared" si="39"/>
        <v>Mejora</v>
      </c>
    </row>
    <row r="140" spans="1:20" x14ac:dyDescent="0.3">
      <c r="A140" s="29" t="s">
        <v>12</v>
      </c>
      <c r="B140" s="29" t="s">
        <v>22</v>
      </c>
      <c r="C140" s="29" t="s">
        <v>23</v>
      </c>
      <c r="D140" s="9">
        <v>500</v>
      </c>
      <c r="E140" s="9">
        <v>1048</v>
      </c>
      <c r="F140" s="9">
        <v>548</v>
      </c>
      <c r="G140" s="9">
        <v>0</v>
      </c>
      <c r="H140" s="9">
        <v>3.3719999999999999</v>
      </c>
      <c r="I140" s="9">
        <v>1844.4739999999999</v>
      </c>
      <c r="J140" s="9">
        <v>0</v>
      </c>
      <c r="K140" s="9" t="b">
        <v>1</v>
      </c>
      <c r="L140" s="10">
        <v>46231.520833333336</v>
      </c>
      <c r="M140" s="30" t="str">
        <f t="shared" si="32"/>
        <v>238829520 -&gt; 5989317 | t=500 | 28/07/2026 12:30</v>
      </c>
      <c r="N140" s="31" t="str">
        <f t="shared" si="33"/>
        <v>9 min 08 s</v>
      </c>
      <c r="O140" s="6">
        <f t="shared" si="34"/>
        <v>12.139200000000001</v>
      </c>
      <c r="P140" s="23">
        <f t="shared" si="35"/>
        <v>1.8444739999999999</v>
      </c>
      <c r="Q140" s="4">
        <f t="shared" si="36"/>
        <v>6.3425925925925924E-3</v>
      </c>
      <c r="R140" s="31" t="str">
        <f t="shared" si="37"/>
        <v/>
      </c>
      <c r="S140" s="7" t="str">
        <f t="shared" si="38"/>
        <v/>
      </c>
      <c r="T140" s="31" t="str">
        <f t="shared" si="39"/>
        <v>Referencia</v>
      </c>
    </row>
    <row r="141" spans="1:20" x14ac:dyDescent="0.3">
      <c r="A141" s="29" t="s">
        <v>13</v>
      </c>
      <c r="B141" s="29" t="s">
        <v>22</v>
      </c>
      <c r="C141" s="29" t="s">
        <v>23</v>
      </c>
      <c r="D141" s="9">
        <v>500</v>
      </c>
      <c r="E141" s="9">
        <v>1052</v>
      </c>
      <c r="F141" s="9">
        <v>552</v>
      </c>
      <c r="G141" s="9">
        <v>0</v>
      </c>
      <c r="H141" s="9">
        <v>3.35</v>
      </c>
      <c r="I141" s="9">
        <v>1846.02</v>
      </c>
      <c r="J141" s="9">
        <v>2</v>
      </c>
      <c r="K141" s="9" t="b">
        <v>1</v>
      </c>
      <c r="L141" s="10">
        <v>46231.524305555555</v>
      </c>
      <c r="M141" s="30" t="str">
        <f t="shared" si="32"/>
        <v>238829520 -&gt; 5989317 | t=500 | 28/07/2026 12:35</v>
      </c>
      <c r="N141" s="31" t="str">
        <f t="shared" si="33"/>
        <v>9 min 12 s</v>
      </c>
      <c r="O141" s="6">
        <f t="shared" si="34"/>
        <v>12.06</v>
      </c>
      <c r="P141" s="23">
        <f t="shared" si="35"/>
        <v>1.84602</v>
      </c>
      <c r="Q141" s="4">
        <f t="shared" si="36"/>
        <v>6.8171296296296296E-3</v>
      </c>
      <c r="R141" s="31" t="str">
        <f t="shared" si="37"/>
        <v>0 min 37 s</v>
      </c>
      <c r="S141" s="7">
        <f t="shared" si="38"/>
        <v>6.2818336162988056E-2</v>
      </c>
      <c r="T141" s="31" t="str">
        <f t="shared" si="39"/>
        <v>Mejora</v>
      </c>
    </row>
    <row r="142" spans="1:20" x14ac:dyDescent="0.3">
      <c r="A142" s="29" t="s">
        <v>12</v>
      </c>
      <c r="B142" s="29" t="s">
        <v>22</v>
      </c>
      <c r="C142" s="29" t="s">
        <v>23</v>
      </c>
      <c r="D142" s="9">
        <v>500</v>
      </c>
      <c r="E142" s="9">
        <v>1089</v>
      </c>
      <c r="F142" s="9">
        <v>589</v>
      </c>
      <c r="G142" s="9">
        <v>0</v>
      </c>
      <c r="H142" s="9">
        <v>3.14</v>
      </c>
      <c r="I142" s="9">
        <v>1846.5060000000001</v>
      </c>
      <c r="J142" s="9">
        <v>0</v>
      </c>
      <c r="K142" s="9" t="b">
        <v>1</v>
      </c>
      <c r="L142" s="10">
        <v>46231.524305555555</v>
      </c>
      <c r="M142" s="30" t="str">
        <f t="shared" si="32"/>
        <v>238829520 -&gt; 5989317 | t=500 | 28/07/2026 12:35</v>
      </c>
      <c r="N142" s="31" t="str">
        <f t="shared" si="33"/>
        <v>9 min 49 s</v>
      </c>
      <c r="O142" s="6">
        <f t="shared" si="34"/>
        <v>11.304</v>
      </c>
      <c r="P142" s="23">
        <f t="shared" si="35"/>
        <v>1.846506</v>
      </c>
      <c r="Q142" s="4">
        <f t="shared" si="36"/>
        <v>6.8171296296296296E-3</v>
      </c>
      <c r="R142" s="31" t="str">
        <f t="shared" si="37"/>
        <v/>
      </c>
      <c r="S142" s="7" t="str">
        <f t="shared" si="38"/>
        <v/>
      </c>
      <c r="T142" s="31" t="str">
        <f t="shared" si="39"/>
        <v>Referencia</v>
      </c>
    </row>
    <row r="143" spans="1:20" x14ac:dyDescent="0.3">
      <c r="A143" s="29" t="s">
        <v>13</v>
      </c>
      <c r="B143" s="29" t="s">
        <v>22</v>
      </c>
      <c r="C143" s="29" t="s">
        <v>23</v>
      </c>
      <c r="D143" s="9">
        <v>500</v>
      </c>
      <c r="E143" s="9">
        <v>1052</v>
      </c>
      <c r="F143" s="9">
        <v>552</v>
      </c>
      <c r="G143" s="9">
        <v>0</v>
      </c>
      <c r="H143" s="9">
        <v>3.35</v>
      </c>
      <c r="I143" s="9">
        <v>1846.02</v>
      </c>
      <c r="J143" s="9">
        <v>2</v>
      </c>
      <c r="K143" s="9" t="b">
        <v>1</v>
      </c>
      <c r="L143" s="10">
        <v>46231.524305555555</v>
      </c>
      <c r="M143" s="30" t="str">
        <f t="shared" si="32"/>
        <v>238829520 -&gt; 5989317 | t=500 | 28/07/2026 12:35</v>
      </c>
      <c r="N143" s="31" t="str">
        <f t="shared" si="33"/>
        <v>9 min 12 s</v>
      </c>
      <c r="O143" s="6">
        <f t="shared" si="34"/>
        <v>12.06</v>
      </c>
      <c r="P143" s="23">
        <f t="shared" si="35"/>
        <v>1.84602</v>
      </c>
      <c r="Q143" s="4">
        <f t="shared" si="36"/>
        <v>6.8171296296296296E-3</v>
      </c>
      <c r="R143" s="31" t="str">
        <f t="shared" si="37"/>
        <v>0 min 37 s</v>
      </c>
      <c r="S143" s="7">
        <f t="shared" si="38"/>
        <v>6.2818336162988056E-2</v>
      </c>
      <c r="T143" s="31" t="str">
        <f t="shared" si="39"/>
        <v>Mejora</v>
      </c>
    </row>
    <row r="144" spans="1:20" x14ac:dyDescent="0.3">
      <c r="A144" s="29" t="s">
        <v>12</v>
      </c>
      <c r="B144" s="29" t="s">
        <v>22</v>
      </c>
      <c r="C144" s="29" t="s">
        <v>23</v>
      </c>
      <c r="D144" s="9">
        <v>500</v>
      </c>
      <c r="E144" s="9">
        <v>992</v>
      </c>
      <c r="F144" s="9">
        <v>492</v>
      </c>
      <c r="G144" s="9">
        <v>0</v>
      </c>
      <c r="H144" s="9">
        <v>3.7589999999999999</v>
      </c>
      <c r="I144" s="9">
        <v>1845.586</v>
      </c>
      <c r="J144" s="9">
        <v>0</v>
      </c>
      <c r="K144" s="9" t="b">
        <v>1</v>
      </c>
      <c r="L144" s="10">
        <v>46231.538240740738</v>
      </c>
      <c r="M144" s="30" t="str">
        <f t="shared" si="32"/>
        <v>238829520 -&gt; 5989317 | t=500 | 28/07/2026 12:55</v>
      </c>
      <c r="N144" s="31" t="str">
        <f t="shared" si="33"/>
        <v>8 min 12 s</v>
      </c>
      <c r="O144" s="6">
        <f t="shared" si="34"/>
        <v>13.532399999999999</v>
      </c>
      <c r="P144" s="23">
        <f t="shared" si="35"/>
        <v>1.8455859999999999</v>
      </c>
      <c r="Q144" s="4">
        <f t="shared" si="36"/>
        <v>5.6944444444444447E-3</v>
      </c>
      <c r="R144" s="31" t="str">
        <f t="shared" si="37"/>
        <v/>
      </c>
      <c r="S144" s="7" t="str">
        <f t="shared" si="38"/>
        <v/>
      </c>
      <c r="T144" s="31" t="str">
        <f t="shared" si="39"/>
        <v>Referencia</v>
      </c>
    </row>
    <row r="145" spans="1:20" x14ac:dyDescent="0.3">
      <c r="A145" s="29" t="s">
        <v>13</v>
      </c>
      <c r="B145" s="29" t="s">
        <v>22</v>
      </c>
      <c r="C145" s="29" t="s">
        <v>23</v>
      </c>
      <c r="D145" s="9">
        <v>500</v>
      </c>
      <c r="E145" s="9">
        <v>989</v>
      </c>
      <c r="F145" s="9">
        <v>489</v>
      </c>
      <c r="G145" s="9">
        <v>0</v>
      </c>
      <c r="H145" s="9">
        <v>3.778</v>
      </c>
      <c r="I145" s="9">
        <v>1843.8330000000001</v>
      </c>
      <c r="J145" s="9">
        <v>3</v>
      </c>
      <c r="K145" s="9" t="b">
        <v>1</v>
      </c>
      <c r="L145" s="10">
        <v>46231.538240740738</v>
      </c>
      <c r="M145" s="30" t="str">
        <f t="shared" si="32"/>
        <v>238829520 -&gt; 5989317 | t=500 | 28/07/2026 12:55</v>
      </c>
      <c r="N145" s="31" t="str">
        <f t="shared" si="33"/>
        <v>8 min 09 s</v>
      </c>
      <c r="O145" s="6">
        <f t="shared" si="34"/>
        <v>13.6008</v>
      </c>
      <c r="P145" s="23">
        <f t="shared" si="35"/>
        <v>1.8438330000000001</v>
      </c>
      <c r="Q145" s="4">
        <f t="shared" si="36"/>
        <v>5.6944444444444447E-3</v>
      </c>
      <c r="R145" s="31" t="str">
        <f t="shared" si="37"/>
        <v>0 min 03 s</v>
      </c>
      <c r="S145" s="7">
        <f t="shared" si="38"/>
        <v>6.0975609756097953E-3</v>
      </c>
      <c r="T145" s="31" t="str">
        <f t="shared" si="39"/>
        <v>Mejora</v>
      </c>
    </row>
    <row r="146" spans="1:20" x14ac:dyDescent="0.3">
      <c r="A146" s="29" t="s">
        <v>12</v>
      </c>
      <c r="B146" s="29" t="s">
        <v>22</v>
      </c>
      <c r="C146" s="29" t="s">
        <v>24</v>
      </c>
      <c r="D146" s="9">
        <v>500</v>
      </c>
      <c r="E146" s="9">
        <v>699</v>
      </c>
      <c r="F146" s="9">
        <v>199</v>
      </c>
      <c r="G146" s="9">
        <v>0</v>
      </c>
      <c r="H146" s="9">
        <v>7.6180000000000003</v>
      </c>
      <c r="I146" s="9">
        <v>1508.4269999999999</v>
      </c>
      <c r="J146" s="9">
        <v>0</v>
      </c>
      <c r="K146" s="9" t="b">
        <v>1</v>
      </c>
      <c r="L146" s="10">
        <v>46231.545185185183</v>
      </c>
      <c r="M146" s="30" t="str">
        <f t="shared" si="32"/>
        <v>238829520 -&gt; 5990070#1 | t=500 | 28/07/2026 13:05</v>
      </c>
      <c r="N146" s="31" t="str">
        <f t="shared" si="33"/>
        <v>3 min 19 s</v>
      </c>
      <c r="O146" s="6">
        <f t="shared" si="34"/>
        <v>27.424800000000001</v>
      </c>
      <c r="P146" s="23">
        <f t="shared" si="35"/>
        <v>1.508427</v>
      </c>
      <c r="Q146" s="4">
        <f t="shared" si="36"/>
        <v>2.3032407407407407E-3</v>
      </c>
      <c r="R146" s="31" t="str">
        <f t="shared" si="37"/>
        <v/>
      </c>
      <c r="S146" s="7" t="str">
        <f t="shared" si="38"/>
        <v/>
      </c>
      <c r="T146" s="31" t="str">
        <f t="shared" si="39"/>
        <v>Referencia</v>
      </c>
    </row>
    <row r="147" spans="1:20" x14ac:dyDescent="0.3">
      <c r="A147" s="29" t="s">
        <v>13</v>
      </c>
      <c r="B147" s="29" t="s">
        <v>22</v>
      </c>
      <c r="C147" s="29" t="s">
        <v>24</v>
      </c>
      <c r="D147" s="9">
        <v>500</v>
      </c>
      <c r="E147" s="9">
        <v>647</v>
      </c>
      <c r="F147" s="9">
        <v>147</v>
      </c>
      <c r="G147" s="9">
        <v>0</v>
      </c>
      <c r="H147" s="9">
        <v>10.324999999999999</v>
      </c>
      <c r="I147" s="9">
        <v>1507.4780000000001</v>
      </c>
      <c r="J147" s="9">
        <v>2</v>
      </c>
      <c r="K147" s="9" t="b">
        <v>1</v>
      </c>
      <c r="L147" s="10">
        <v>46231.545185185183</v>
      </c>
      <c r="M147" s="30" t="str">
        <f t="shared" si="32"/>
        <v>238829520 -&gt; 5990070#1 | t=500 | 28/07/2026 13:05</v>
      </c>
      <c r="N147" s="31" t="str">
        <f t="shared" si="33"/>
        <v>2 min 27 s</v>
      </c>
      <c r="O147" s="6">
        <f t="shared" si="34"/>
        <v>37.17</v>
      </c>
      <c r="P147" s="23">
        <f t="shared" si="35"/>
        <v>1.5074780000000001</v>
      </c>
      <c r="Q147" s="4">
        <f t="shared" si="36"/>
        <v>2.3032407407407407E-3</v>
      </c>
      <c r="R147" s="31" t="str">
        <f t="shared" si="37"/>
        <v>0 min 52 s</v>
      </c>
      <c r="S147" s="7">
        <f t="shared" si="38"/>
        <v>0.2613065326633166</v>
      </c>
      <c r="T147" s="31" t="str">
        <f t="shared" si="39"/>
        <v>Mejora</v>
      </c>
    </row>
    <row r="148" spans="1:20" x14ac:dyDescent="0.3">
      <c r="A148" s="29" t="s">
        <v>12</v>
      </c>
      <c r="B148" s="29" t="s">
        <v>22</v>
      </c>
      <c r="C148" s="29" t="s">
        <v>24</v>
      </c>
      <c r="D148" s="9">
        <v>500</v>
      </c>
      <c r="E148" s="9">
        <v>700</v>
      </c>
      <c r="F148" s="9">
        <v>200</v>
      </c>
      <c r="G148" s="9">
        <v>0</v>
      </c>
      <c r="H148" s="9">
        <v>7.5720000000000001</v>
      </c>
      <c r="I148" s="9">
        <v>1506.8610000000001</v>
      </c>
      <c r="J148" s="9">
        <v>0</v>
      </c>
      <c r="K148" s="9" t="b">
        <v>1</v>
      </c>
      <c r="L148" s="10">
        <v>46231.5625462963</v>
      </c>
      <c r="M148" s="30" t="str">
        <f t="shared" si="32"/>
        <v>238829520 -&gt; 5990070#1 | t=500 | 28/07/2026 13:30</v>
      </c>
      <c r="N148" s="31" t="str">
        <f t="shared" si="33"/>
        <v>3 min 20 s</v>
      </c>
      <c r="O148" s="6">
        <f t="shared" si="34"/>
        <v>27.2592</v>
      </c>
      <c r="P148" s="23">
        <f t="shared" si="35"/>
        <v>1.506861</v>
      </c>
      <c r="Q148" s="4">
        <f t="shared" si="36"/>
        <v>2.3148148148148147E-3</v>
      </c>
      <c r="R148" s="31" t="str">
        <f t="shared" si="37"/>
        <v/>
      </c>
      <c r="S148" s="7" t="str">
        <f t="shared" si="38"/>
        <v/>
      </c>
      <c r="T148" s="31" t="str">
        <f t="shared" si="39"/>
        <v>Referencia</v>
      </c>
    </row>
    <row r="149" spans="1:20" x14ac:dyDescent="0.3">
      <c r="A149" s="29" t="s">
        <v>13</v>
      </c>
      <c r="B149" s="29" t="s">
        <v>22</v>
      </c>
      <c r="C149" s="29" t="s">
        <v>24</v>
      </c>
      <c r="D149" s="9">
        <v>500</v>
      </c>
      <c r="E149" s="9">
        <v>679</v>
      </c>
      <c r="F149" s="9">
        <v>179</v>
      </c>
      <c r="G149" s="9">
        <v>0</v>
      </c>
      <c r="H149" s="9">
        <v>8.4710000000000001</v>
      </c>
      <c r="I149" s="9">
        <v>1507.7750000000001</v>
      </c>
      <c r="J149" s="9">
        <v>4</v>
      </c>
      <c r="K149" s="9" t="b">
        <v>1</v>
      </c>
      <c r="L149" s="10">
        <v>46231.566018518519</v>
      </c>
      <c r="M149" s="30" t="str">
        <f t="shared" si="32"/>
        <v>238829520 -&gt; 5990070#1 | t=500 | 28/07/2026 13:35</v>
      </c>
      <c r="N149" s="31" t="str">
        <f t="shared" si="33"/>
        <v>2 min 59 s</v>
      </c>
      <c r="O149" s="6">
        <f t="shared" si="34"/>
        <v>30.4956</v>
      </c>
      <c r="P149" s="23">
        <f t="shared" si="35"/>
        <v>1.5077750000000001</v>
      </c>
      <c r="Q149" s="4" t="str">
        <f t="shared" si="36"/>
        <v/>
      </c>
      <c r="R149" s="31" t="str">
        <f t="shared" si="37"/>
        <v/>
      </c>
      <c r="S149" s="7" t="str">
        <f t="shared" si="38"/>
        <v/>
      </c>
      <c r="T149" s="31" t="str">
        <f t="shared" si="39"/>
        <v>Sin referencia</v>
      </c>
    </row>
    <row r="150" spans="1:20" x14ac:dyDescent="0.3">
      <c r="A150" s="29" t="s">
        <v>12</v>
      </c>
      <c r="B150" s="29" t="s">
        <v>22</v>
      </c>
      <c r="C150" s="29" t="s">
        <v>24</v>
      </c>
      <c r="D150" s="9">
        <v>500</v>
      </c>
      <c r="E150" s="9">
        <v>701</v>
      </c>
      <c r="F150" s="9">
        <v>201</v>
      </c>
      <c r="G150" s="9">
        <v>70</v>
      </c>
      <c r="H150" s="9">
        <v>7.532</v>
      </c>
      <c r="I150" s="9">
        <v>1506.337</v>
      </c>
      <c r="J150" s="9">
        <v>0</v>
      </c>
      <c r="K150" s="9" t="b">
        <v>1</v>
      </c>
      <c r="L150" s="10">
        <v>46231.572962962964</v>
      </c>
      <c r="M150" s="30" t="str">
        <f t="shared" si="32"/>
        <v>238829520 -&gt; 5990070#1 | t=500 | 28/07/2026 13:45</v>
      </c>
      <c r="N150" s="31" t="str">
        <f t="shared" si="33"/>
        <v>3 min 21 s</v>
      </c>
      <c r="O150" s="6">
        <f t="shared" si="34"/>
        <v>27.115200000000002</v>
      </c>
      <c r="P150" s="23">
        <f t="shared" si="35"/>
        <v>1.506337</v>
      </c>
      <c r="Q150" s="4">
        <f t="shared" si="36"/>
        <v>2.3263888888888887E-3</v>
      </c>
      <c r="R150" s="31" t="str">
        <f t="shared" si="37"/>
        <v/>
      </c>
      <c r="S150" s="7" t="str">
        <f t="shared" si="38"/>
        <v/>
      </c>
      <c r="T150" s="31" t="str">
        <f t="shared" si="39"/>
        <v>Referencia</v>
      </c>
    </row>
    <row r="151" spans="1:20" x14ac:dyDescent="0.3">
      <c r="A151" s="29" t="s">
        <v>13</v>
      </c>
      <c r="B151" s="29" t="s">
        <v>22</v>
      </c>
      <c r="C151" s="29" t="s">
        <v>24</v>
      </c>
      <c r="D151" s="9">
        <v>500</v>
      </c>
      <c r="E151" s="9">
        <v>628</v>
      </c>
      <c r="F151" s="9">
        <v>128</v>
      </c>
      <c r="G151" s="9">
        <v>1</v>
      </c>
      <c r="H151" s="9">
        <v>11.865</v>
      </c>
      <c r="I151" s="9">
        <v>1506.808</v>
      </c>
      <c r="J151" s="9">
        <v>3</v>
      </c>
      <c r="K151" s="9" t="b">
        <v>1</v>
      </c>
      <c r="L151" s="10">
        <v>46231.572962962964</v>
      </c>
      <c r="M151" s="30" t="str">
        <f t="shared" si="32"/>
        <v>238829520 -&gt; 5990070#1 | t=500 | 28/07/2026 13:45</v>
      </c>
      <c r="N151" s="31" t="str">
        <f t="shared" si="33"/>
        <v>2 min 08 s</v>
      </c>
      <c r="O151" s="6">
        <f t="shared" si="34"/>
        <v>42.713999999999999</v>
      </c>
      <c r="P151" s="23">
        <f t="shared" si="35"/>
        <v>1.5068079999999999</v>
      </c>
      <c r="Q151" s="4">
        <f t="shared" si="36"/>
        <v>2.3263888888888887E-3</v>
      </c>
      <c r="R151" s="31" t="str">
        <f t="shared" si="37"/>
        <v>1 min 13 s</v>
      </c>
      <c r="S151" s="7">
        <f t="shared" si="38"/>
        <v>0.36318407960199001</v>
      </c>
      <c r="T151" s="31" t="str">
        <f t="shared" si="39"/>
        <v>Mejora</v>
      </c>
    </row>
    <row r="152" spans="1:20" x14ac:dyDescent="0.3">
      <c r="A152" s="29" t="s">
        <v>12</v>
      </c>
      <c r="B152" s="29" t="s">
        <v>22</v>
      </c>
      <c r="C152" s="29" t="s">
        <v>24</v>
      </c>
      <c r="D152" s="9">
        <v>500</v>
      </c>
      <c r="E152" s="9">
        <v>699</v>
      </c>
      <c r="F152" s="9">
        <v>199</v>
      </c>
      <c r="G152" s="9">
        <v>37</v>
      </c>
      <c r="H152" s="9">
        <v>7.609</v>
      </c>
      <c r="I152" s="9">
        <v>1506.6120000000001</v>
      </c>
      <c r="J152" s="9">
        <v>0</v>
      </c>
      <c r="K152" s="9" t="b">
        <v>1</v>
      </c>
      <c r="L152" s="10">
        <v>46231.583379629628</v>
      </c>
      <c r="M152" s="30" t="str">
        <f t="shared" si="32"/>
        <v>238829520 -&gt; 5990070#1 | t=500 | 28/07/2026 14:00</v>
      </c>
      <c r="N152" s="31" t="str">
        <f t="shared" si="33"/>
        <v>3 min 19 s</v>
      </c>
      <c r="O152" s="6">
        <f t="shared" si="34"/>
        <v>27.392400000000002</v>
      </c>
      <c r="P152" s="23">
        <f t="shared" si="35"/>
        <v>1.5066120000000001</v>
      </c>
      <c r="Q152" s="4">
        <f t="shared" si="36"/>
        <v>2.3032407407407407E-3</v>
      </c>
      <c r="R152" s="31" t="str">
        <f t="shared" si="37"/>
        <v/>
      </c>
      <c r="S152" s="7" t="str">
        <f t="shared" si="38"/>
        <v/>
      </c>
      <c r="T152" s="31" t="str">
        <f t="shared" si="39"/>
        <v>Referencia</v>
      </c>
    </row>
    <row r="153" spans="1:20" x14ac:dyDescent="0.3">
      <c r="A153" s="29" t="s">
        <v>13</v>
      </c>
      <c r="B153" s="29" t="s">
        <v>22</v>
      </c>
      <c r="C153" s="29" t="s">
        <v>24</v>
      </c>
      <c r="D153" s="9">
        <v>500</v>
      </c>
      <c r="E153" s="9">
        <v>655</v>
      </c>
      <c r="F153" s="9">
        <v>155</v>
      </c>
      <c r="G153" s="9">
        <v>2</v>
      </c>
      <c r="H153" s="9">
        <v>9.7850000000000001</v>
      </c>
      <c r="I153" s="9">
        <v>1506.9559999999999</v>
      </c>
      <c r="J153" s="9">
        <v>5</v>
      </c>
      <c r="K153" s="9" t="b">
        <v>1</v>
      </c>
      <c r="L153" s="10">
        <v>46231.583379629628</v>
      </c>
      <c r="M153" s="30" t="str">
        <f t="shared" si="32"/>
        <v>238829520 -&gt; 5990070#1 | t=500 | 28/07/2026 14:00</v>
      </c>
      <c r="N153" s="31" t="str">
        <f t="shared" si="33"/>
        <v>2 min 35 s</v>
      </c>
      <c r="O153" s="6">
        <f t="shared" si="34"/>
        <v>35.225999999999999</v>
      </c>
      <c r="P153" s="23">
        <f t="shared" si="35"/>
        <v>1.506956</v>
      </c>
      <c r="Q153" s="4">
        <f t="shared" si="36"/>
        <v>2.3032407407407407E-3</v>
      </c>
      <c r="R153" s="31" t="str">
        <f t="shared" si="37"/>
        <v>0 min 44 s</v>
      </c>
      <c r="S153" s="7">
        <f t="shared" si="38"/>
        <v>0.22110552763819094</v>
      </c>
      <c r="T153" s="31" t="str">
        <f t="shared" si="39"/>
        <v>Mejora</v>
      </c>
    </row>
    <row r="154" spans="1:20" x14ac:dyDescent="0.3">
      <c r="A154" s="29" t="s">
        <v>12</v>
      </c>
      <c r="B154" s="29" t="s">
        <v>22</v>
      </c>
      <c r="C154" s="29" t="s">
        <v>24</v>
      </c>
      <c r="D154" s="9">
        <v>500</v>
      </c>
      <c r="E154" s="9">
        <v>3600</v>
      </c>
      <c r="F154" s="9">
        <v>3100</v>
      </c>
      <c r="G154" s="9">
        <v>2852</v>
      </c>
      <c r="H154" s="9">
        <v>0.47799999999999998</v>
      </c>
      <c r="I154" s="9">
        <v>1480.115</v>
      </c>
      <c r="J154" s="9">
        <v>0</v>
      </c>
      <c r="K154" s="9" t="b">
        <v>0</v>
      </c>
      <c r="L154" s="10">
        <v>46231.836851851855</v>
      </c>
      <c r="M154" s="30" t="str">
        <f t="shared" si="32"/>
        <v>238829520 -&gt; 5990070#1 | t=500 | 28/07/2026 20:05</v>
      </c>
      <c r="N154" s="31" t="str">
        <f t="shared" si="33"/>
        <v>51 min 40 s</v>
      </c>
      <c r="O154" s="6">
        <f t="shared" si="34"/>
        <v>1.7207999999999999</v>
      </c>
      <c r="P154" s="23">
        <f t="shared" si="35"/>
        <v>1.4801150000000001</v>
      </c>
      <c r="Q154" s="4" t="str">
        <f t="shared" si="36"/>
        <v/>
      </c>
      <c r="R154" s="31" t="str">
        <f t="shared" si="37"/>
        <v/>
      </c>
      <c r="S154" s="7" t="str">
        <f t="shared" si="38"/>
        <v/>
      </c>
      <c r="T154" s="31" t="str">
        <f t="shared" si="39"/>
        <v>No llega</v>
      </c>
    </row>
    <row r="155" spans="1:20" x14ac:dyDescent="0.3">
      <c r="A155" s="29" t="s">
        <v>13</v>
      </c>
      <c r="B155" s="29" t="s">
        <v>22</v>
      </c>
      <c r="C155" s="29" t="s">
        <v>24</v>
      </c>
      <c r="D155" s="9">
        <v>500</v>
      </c>
      <c r="E155" s="9">
        <v>1478</v>
      </c>
      <c r="F155" s="9">
        <v>978</v>
      </c>
      <c r="G155" s="9">
        <v>792</v>
      </c>
      <c r="H155" s="9">
        <v>1.5449999999999999</v>
      </c>
      <c r="I155" s="9">
        <v>1509.652</v>
      </c>
      <c r="J155" s="9">
        <v>8</v>
      </c>
      <c r="K155" s="9" t="b">
        <v>1</v>
      </c>
      <c r="L155" s="10">
        <v>46231.836851851855</v>
      </c>
      <c r="M155" s="30" t="str">
        <f t="shared" si="32"/>
        <v>238829520 -&gt; 5990070#1 | t=500 | 28/07/2026 20:05</v>
      </c>
      <c r="N155" s="31" t="str">
        <f t="shared" si="33"/>
        <v>16 min 18 s</v>
      </c>
      <c r="O155" s="6">
        <f t="shared" si="34"/>
        <v>5.5620000000000003</v>
      </c>
      <c r="P155" s="23">
        <f t="shared" si="35"/>
        <v>1.509652</v>
      </c>
      <c r="Q155" s="4" t="str">
        <f t="shared" si="36"/>
        <v/>
      </c>
      <c r="R155" s="31" t="str">
        <f t="shared" si="37"/>
        <v/>
      </c>
      <c r="S155" s="7" t="str">
        <f t="shared" si="38"/>
        <v/>
      </c>
      <c r="T155" s="31" t="str">
        <f t="shared" si="39"/>
        <v>Sin referencia</v>
      </c>
    </row>
    <row r="156" spans="1:20" x14ac:dyDescent="0.3">
      <c r="A156" s="29" t="s">
        <v>12</v>
      </c>
      <c r="B156" s="29" t="s">
        <v>22</v>
      </c>
      <c r="C156" s="29" t="s">
        <v>24</v>
      </c>
      <c r="D156" s="9">
        <v>500</v>
      </c>
      <c r="E156" s="9">
        <v>703</v>
      </c>
      <c r="F156" s="9">
        <v>203</v>
      </c>
      <c r="G156" s="9">
        <v>62</v>
      </c>
      <c r="H156" s="9">
        <v>7.4489999999999998</v>
      </c>
      <c r="I156" s="9">
        <v>1504.636</v>
      </c>
      <c r="J156" s="9">
        <v>0</v>
      </c>
      <c r="K156" s="9" t="b">
        <v>1</v>
      </c>
      <c r="L156" s="10">
        <v>46231.857835648145</v>
      </c>
      <c r="M156" s="30" t="str">
        <f t="shared" si="32"/>
        <v>238829520 -&gt; 5990070#1 | t=500 | 28/07/2026 20:35</v>
      </c>
      <c r="N156" s="31" t="str">
        <f t="shared" si="33"/>
        <v>3 min 23 s</v>
      </c>
      <c r="O156" s="6">
        <f t="shared" si="34"/>
        <v>26.816400000000002</v>
      </c>
      <c r="P156" s="23">
        <f t="shared" si="35"/>
        <v>1.5046359999999999</v>
      </c>
      <c r="Q156" s="4">
        <f t="shared" si="36"/>
        <v>2.3668981481481484E-3</v>
      </c>
      <c r="R156" s="31" t="str">
        <f t="shared" si="37"/>
        <v/>
      </c>
      <c r="S156" s="7" t="str">
        <f t="shared" si="38"/>
        <v/>
      </c>
      <c r="T156" s="31" t="str">
        <f t="shared" si="39"/>
        <v>Referencia</v>
      </c>
    </row>
    <row r="157" spans="1:20" x14ac:dyDescent="0.3">
      <c r="A157" s="29" t="s">
        <v>13</v>
      </c>
      <c r="B157" s="29" t="s">
        <v>22</v>
      </c>
      <c r="C157" s="29" t="s">
        <v>24</v>
      </c>
      <c r="D157" s="9">
        <v>500</v>
      </c>
      <c r="E157" s="9">
        <v>703</v>
      </c>
      <c r="F157" s="9">
        <v>203</v>
      </c>
      <c r="G157" s="9">
        <v>65</v>
      </c>
      <c r="H157" s="9">
        <v>7.4379999999999997</v>
      </c>
      <c r="I157" s="9">
        <v>1502.386</v>
      </c>
      <c r="J157" s="9">
        <v>1</v>
      </c>
      <c r="K157" s="9" t="b">
        <v>1</v>
      </c>
      <c r="L157" s="10">
        <v>46231.857835648145</v>
      </c>
      <c r="M157" s="30" t="str">
        <f t="shared" si="32"/>
        <v>238829520 -&gt; 5990070#1 | t=500 | 28/07/2026 20:35</v>
      </c>
      <c r="N157" s="31" t="str">
        <f t="shared" si="33"/>
        <v>3 min 23 s</v>
      </c>
      <c r="O157" s="6">
        <f t="shared" si="34"/>
        <v>26.776799999999998</v>
      </c>
      <c r="P157" s="23">
        <f t="shared" si="35"/>
        <v>1.502386</v>
      </c>
      <c r="Q157" s="4">
        <f t="shared" si="36"/>
        <v>2.3668981481481484E-3</v>
      </c>
      <c r="R157" s="31" t="str">
        <f t="shared" si="37"/>
        <v>0 min 02 s</v>
      </c>
      <c r="S157" s="7">
        <f t="shared" si="38"/>
        <v>7.3349633251834209E-3</v>
      </c>
      <c r="T157" s="31" t="str">
        <f t="shared" si="39"/>
        <v>Mejora</v>
      </c>
    </row>
    <row r="158" spans="1:20" x14ac:dyDescent="0.3">
      <c r="A158" s="29" t="s">
        <v>12</v>
      </c>
      <c r="B158" s="29" t="s">
        <v>22</v>
      </c>
      <c r="C158" s="29" t="s">
        <v>24</v>
      </c>
      <c r="D158" s="9">
        <v>500</v>
      </c>
      <c r="E158" s="9">
        <v>706</v>
      </c>
      <c r="F158" s="9">
        <v>206</v>
      </c>
      <c r="G158" s="9">
        <v>56</v>
      </c>
      <c r="H158" s="9">
        <v>7.3680000000000003</v>
      </c>
      <c r="I158" s="9">
        <v>1510.5139999999999</v>
      </c>
      <c r="J158" s="9">
        <v>0</v>
      </c>
      <c r="K158" s="9" t="b">
        <v>1</v>
      </c>
      <c r="L158" s="10">
        <v>46231.857835648145</v>
      </c>
      <c r="M158" s="30" t="str">
        <f t="shared" si="32"/>
        <v>238829520 -&gt; 5990070#1 | t=500 | 28/07/2026 20:35</v>
      </c>
      <c r="N158" s="31" t="str">
        <f t="shared" si="33"/>
        <v>3 min 26 s</v>
      </c>
      <c r="O158" s="6">
        <f t="shared" si="34"/>
        <v>26.524800000000003</v>
      </c>
      <c r="P158" s="23">
        <f t="shared" si="35"/>
        <v>1.5105139999999999</v>
      </c>
      <c r="Q158" s="4">
        <f t="shared" si="36"/>
        <v>2.3668981481481484E-3</v>
      </c>
      <c r="R158" s="31" t="str">
        <f t="shared" si="37"/>
        <v/>
      </c>
      <c r="S158" s="7" t="str">
        <f t="shared" si="38"/>
        <v/>
      </c>
      <c r="T158" s="31" t="str">
        <f t="shared" si="39"/>
        <v>Referencia</v>
      </c>
    </row>
    <row r="159" spans="1:20" x14ac:dyDescent="0.3">
      <c r="A159" s="29" t="s">
        <v>13</v>
      </c>
      <c r="B159" s="29" t="s">
        <v>22</v>
      </c>
      <c r="C159" s="29" t="s">
        <v>24</v>
      </c>
      <c r="D159" s="9">
        <v>500</v>
      </c>
      <c r="E159" s="9">
        <v>771</v>
      </c>
      <c r="F159" s="9">
        <v>271</v>
      </c>
      <c r="G159" s="9">
        <v>120</v>
      </c>
      <c r="H159" s="9">
        <v>5.5910000000000002</v>
      </c>
      <c r="I159" s="9">
        <v>1509.6590000000001</v>
      </c>
      <c r="J159" s="9">
        <v>3</v>
      </c>
      <c r="K159" s="9" t="b">
        <v>1</v>
      </c>
      <c r="L159" s="10">
        <v>46231.857835648145</v>
      </c>
      <c r="M159" s="30" t="str">
        <f t="shared" si="32"/>
        <v>238829520 -&gt; 5990070#1 | t=500 | 28/07/2026 20:35</v>
      </c>
      <c r="N159" s="33" t="str">
        <f t="shared" si="33"/>
        <v>4 min 31 s</v>
      </c>
      <c r="O159" s="19">
        <f t="shared" si="34"/>
        <v>20.127600000000001</v>
      </c>
      <c r="P159" s="24">
        <f t="shared" si="35"/>
        <v>1.5096590000000001</v>
      </c>
      <c r="Q159" s="20">
        <f t="shared" si="36"/>
        <v>2.3668981481481484E-3</v>
      </c>
      <c r="R159" s="33" t="str">
        <f t="shared" si="37"/>
        <v>-1 min 06 s</v>
      </c>
      <c r="S159" s="21">
        <f t="shared" si="38"/>
        <v>-0.32518337408312953</v>
      </c>
      <c r="T159" s="33" t="str">
        <f t="shared" si="39"/>
        <v>Empeora</v>
      </c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23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23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23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23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3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3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3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3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3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3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3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3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3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3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3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3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3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3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3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3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3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3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3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3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3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3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3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3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3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3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3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3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3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3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3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3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3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3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3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3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3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3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3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3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3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3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3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3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3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3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3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3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3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3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3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3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3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3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3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3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3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3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3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3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3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3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3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3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3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  <row r="1137" spans="1:20" x14ac:dyDescent="0.3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3"/>
      <c r="M1137" s="2"/>
      <c r="N1137" s="1"/>
      <c r="O1137" s="6"/>
      <c r="P1137" s="23"/>
      <c r="Q1137" s="4"/>
      <c r="R1137" s="1"/>
      <c r="S1137" s="7"/>
      <c r="T1137" s="1"/>
    </row>
    <row r="1138" spans="1:20" x14ac:dyDescent="0.3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3"/>
      <c r="M1138" s="2"/>
      <c r="N1138" s="1"/>
      <c r="O1138" s="6"/>
      <c r="P1138" s="23"/>
      <c r="Q1138" s="4"/>
      <c r="R1138" s="1"/>
      <c r="S1138" s="7"/>
      <c r="T1138" s="1"/>
    </row>
    <row r="1139" spans="1:20" x14ac:dyDescent="0.3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3"/>
      <c r="M1139" s="2"/>
      <c r="N1139" s="1"/>
      <c r="O1139" s="6"/>
      <c r="P1139" s="23"/>
      <c r="Q1139" s="4"/>
      <c r="R1139" s="1"/>
      <c r="S1139" s="7"/>
      <c r="T1139" s="1"/>
    </row>
    <row r="1140" spans="1:20" x14ac:dyDescent="0.3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3"/>
      <c r="M1140" s="2"/>
      <c r="N1140" s="1"/>
      <c r="O1140" s="6"/>
      <c r="P1140" s="23"/>
      <c r="Q1140" s="4"/>
      <c r="R1140" s="1"/>
      <c r="S1140" s="7"/>
      <c r="T1140" s="1"/>
    </row>
    <row r="1141" spans="1:20" x14ac:dyDescent="0.3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3"/>
      <c r="M1141" s="2"/>
      <c r="N1141" s="1"/>
      <c r="O1141" s="6"/>
      <c r="P1141" s="23"/>
      <c r="Q1141" s="4"/>
      <c r="R1141" s="1"/>
      <c r="S1141" s="7"/>
      <c r="T1141" s="1"/>
    </row>
    <row r="1142" spans="1:20" x14ac:dyDescent="0.3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3"/>
      <c r="M1142" s="2"/>
      <c r="N1142" s="1"/>
      <c r="O1142" s="6"/>
      <c r="P1142" s="23"/>
      <c r="Q1142" s="4"/>
      <c r="R1142" s="1"/>
      <c r="S1142" s="7"/>
      <c r="T1142" s="1"/>
    </row>
    <row r="1143" spans="1:20" x14ac:dyDescent="0.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3"/>
      <c r="M1143" s="2"/>
      <c r="N1143" s="1"/>
      <c r="O1143" s="6"/>
      <c r="P1143" s="23"/>
      <c r="Q1143" s="4"/>
      <c r="R1143" s="1"/>
      <c r="S1143" s="7"/>
      <c r="T1143" s="1"/>
    </row>
    <row r="1144" spans="1:20" x14ac:dyDescent="0.3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3"/>
      <c r="M1144" s="2"/>
      <c r="N1144" s="1"/>
      <c r="O1144" s="6"/>
      <c r="P1144" s="23"/>
      <c r="Q1144" s="4"/>
      <c r="R1144" s="1"/>
      <c r="S1144" s="7"/>
      <c r="T1144" s="1"/>
    </row>
    <row r="1145" spans="1:20" x14ac:dyDescent="0.3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3"/>
      <c r="M1145" s="2"/>
      <c r="N1145" s="1"/>
      <c r="O1145" s="6"/>
      <c r="P1145" s="23"/>
      <c r="Q1145" s="4"/>
      <c r="R1145" s="1"/>
      <c r="S1145" s="7"/>
      <c r="T1145" s="1"/>
    </row>
    <row r="1146" spans="1:20" x14ac:dyDescent="0.3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3"/>
      <c r="M1146" s="2"/>
      <c r="N1146" s="1"/>
      <c r="O1146" s="6"/>
      <c r="P1146" s="23"/>
      <c r="Q1146" s="4"/>
      <c r="R1146" s="1"/>
      <c r="S1146" s="7"/>
      <c r="T1146" s="1"/>
    </row>
    <row r="1147" spans="1:20" x14ac:dyDescent="0.3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3"/>
      <c r="M1147" s="2"/>
      <c r="N1147" s="1"/>
      <c r="O1147" s="6"/>
      <c r="P1147" s="23"/>
      <c r="Q1147" s="4"/>
      <c r="R1147" s="1"/>
      <c r="S1147" s="7"/>
      <c r="T1147" s="1"/>
    </row>
    <row r="1148" spans="1:20" x14ac:dyDescent="0.3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3"/>
      <c r="M1148" s="2"/>
      <c r="N1148" s="1"/>
      <c r="O1148" s="6"/>
      <c r="P1148" s="23"/>
      <c r="Q1148" s="4"/>
      <c r="R1148" s="1"/>
      <c r="S1148" s="7"/>
      <c r="T1148" s="1"/>
    </row>
    <row r="1149" spans="1:20" x14ac:dyDescent="0.3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3"/>
      <c r="M1149" s="2"/>
      <c r="N1149" s="1"/>
      <c r="O1149" s="6"/>
      <c r="P1149" s="23"/>
      <c r="Q1149" s="4"/>
      <c r="R1149" s="1"/>
      <c r="S1149" s="7"/>
      <c r="T1149" s="1"/>
    </row>
    <row r="1150" spans="1:20" x14ac:dyDescent="0.3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3"/>
      <c r="M1150" s="2"/>
      <c r="N1150" s="1"/>
      <c r="O1150" s="6"/>
      <c r="P1150" s="23"/>
      <c r="Q1150" s="4"/>
      <c r="R1150" s="1"/>
      <c r="S1150" s="7"/>
      <c r="T1150" s="1"/>
    </row>
    <row r="1151" spans="1:20" x14ac:dyDescent="0.3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3"/>
      <c r="M1151" s="2"/>
      <c r="N1151" s="1"/>
      <c r="O1151" s="6"/>
      <c r="P1151" s="23"/>
      <c r="Q1151" s="4"/>
      <c r="R1151" s="1"/>
      <c r="S1151" s="7"/>
      <c r="T1151" s="1"/>
    </row>
    <row r="1152" spans="1:20" x14ac:dyDescent="0.3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3"/>
      <c r="M1152" s="2"/>
      <c r="N1152" s="1"/>
      <c r="O1152" s="6"/>
      <c r="P1152" s="23"/>
      <c r="Q1152" s="4"/>
      <c r="R1152" s="1"/>
      <c r="S1152" s="7"/>
      <c r="T1152" s="1"/>
    </row>
    <row r="1153" spans="1:20" x14ac:dyDescent="0.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3"/>
      <c r="M1153" s="2"/>
      <c r="N1153" s="1"/>
      <c r="O1153" s="6"/>
      <c r="P1153" s="23"/>
      <c r="Q1153" s="4"/>
      <c r="R1153" s="1"/>
      <c r="S1153" s="7"/>
      <c r="T1153" s="1"/>
    </row>
    <row r="1154" spans="1:20" x14ac:dyDescent="0.3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3"/>
      <c r="M1154" s="2"/>
      <c r="N1154" s="1"/>
      <c r="O1154" s="6"/>
      <c r="P1154" s="23"/>
      <c r="Q1154" s="4"/>
      <c r="R1154" s="1"/>
      <c r="S1154" s="7"/>
      <c r="T1154" s="1"/>
    </row>
    <row r="1155" spans="1:20" x14ac:dyDescent="0.3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3"/>
      <c r="M1155" s="2"/>
      <c r="N1155" s="1"/>
      <c r="O1155" s="6"/>
      <c r="P1155" s="23"/>
      <c r="Q1155" s="4"/>
      <c r="R1155" s="1"/>
      <c r="S1155" s="7"/>
      <c r="T1155" s="1"/>
    </row>
    <row r="1156" spans="1:20" x14ac:dyDescent="0.3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3"/>
      <c r="M1156" s="2"/>
      <c r="N1156" s="1"/>
      <c r="O1156" s="6"/>
      <c r="P1156" s="23"/>
      <c r="Q1156" s="4"/>
      <c r="R1156" s="1"/>
      <c r="S1156" s="7"/>
      <c r="T1156" s="1"/>
    </row>
  </sheetData>
  <phoneticPr fontId="1" type="noConversion"/>
  <conditionalFormatting sqref="R2:T1156">
    <cfRule type="expression" dxfId="24" priority="1">
      <formula>$T2="Igual"</formula>
    </cfRule>
    <cfRule type="expression" dxfId="23" priority="2">
      <formula>$T2="Sin referencia"</formula>
    </cfRule>
    <cfRule type="expression" dxfId="22" priority="3">
      <formula>$T2="No llega"</formula>
    </cfRule>
    <cfRule type="expression" dxfId="21" priority="4">
      <formula>$T2="Empeora"</formula>
    </cfRule>
    <cfRule type="expression" dxfId="20" priority="5">
      <formula>$T2="Mejora"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opLeftCell="A41" zoomScale="73" zoomScaleNormal="100" workbookViewId="0">
      <selection activeCell="AG98" sqref="AG98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73">"Prueba "&amp;_xlfn.SEQUENCE(ROWS(_xlfn.ANCHORARRAY(B2)))</f>
        <v>Prueba 1</v>
      </c>
      <c r="B2" s="1" t="str" cm="1">
        <f t="array" ref="B2:B73">_xlfn._xlws.FILTER(emergency_results!$M$2:$M$1117,(emergency_results!$A$2:$A$1117="inteligente")*(emergency_results!$K$2:$K$1117=TRUE)*(emergency_results!$Q$2:$Q$1117&lt;&gt;""))</f>
        <v>238829520 -&gt; 5989317 | t=250 | 24/05/2026 11:45</v>
      </c>
      <c r="C2" s="1" cm="1">
        <f t="array" ref="C2:C73">_xlfn._xlws.FILTER(emergency_results!$Q$2:$Q$1117,(emergency_results!$A$2:$A$1117="inteligente")*(emergency_results!$K$2:$K$1117=TRUE)*(emergency_results!$Q$2:$Q$1117&lt;&gt;""))*86400</f>
        <v>236</v>
      </c>
      <c r="D2" s="1" cm="1">
        <f t="array" ref="D2:D73">_xlfn._xlws.FILTER(emergency_results!$F$2:$F$1117,(emergency_results!$A$2:$A$1117="inteligente")*(emergency_results!$K$2:$K$1117=TRUE)*(emergency_results!$Q$2:$Q$1117&lt;&gt;""))</f>
        <v>158</v>
      </c>
      <c r="E2" s="18">
        <f>IF(OR(C2="",D2=""),"",C2-D2)</f>
        <v>78</v>
      </c>
      <c r="F2" s="7" cm="1">
        <f t="array" ref="F2:F73">_xlfn._xlws.FILTER(emergency_results!$S$2:$S$1117,(emergency_results!$A$2:$A$1117="inteligente")*(emergency_results!$K$2:$K$1117=TRUE)*(emergency_results!$Q$2:$Q$1117&lt;&gt;""))</f>
        <v>0.33050847457627119</v>
      </c>
      <c r="G2" s="1" cm="1">
        <f t="array" ref="G2:G73">_xlfn._xlws.FILTER(emergency_results!$O$2:$O$1117,(emergency_results!$A$2:$A$1117="inteligente")*(emergency_results!$K$2:$K$1117=TRUE)*(emergency_results!$Q$2:$Q$1117&lt;&gt;""))</f>
        <v>42.184800000000003</v>
      </c>
      <c r="H2" s="1" cm="1">
        <f t="array" ref="H2:H73">_xlfn._xlws.FILTER(emergency_results!$J$2:$J$1117,(emergency_results!$A$2:$A$1117="inteligente")*(emergency_results!$K$2:$K$1117=TRUE)*(emergency_results!$Q$2:$Q$1117&lt;&gt;""))</f>
        <v>3</v>
      </c>
      <c r="I2" s="1" t="str" cm="1">
        <f t="array" ref="I2:I73">_xlfn._xlws.FILTER(emergency_results!$T$2:$T$1117,(emergency_results!$A$2:$A$1117="inteligente")*(emergency_results!$K$2:$K$1117=TRUE)*(emergency_results!$Q$2:$Q$1117&lt;&gt;""))</f>
        <v>Mejora</v>
      </c>
      <c r="K2" s="17" t="s">
        <v>35</v>
      </c>
      <c r="L2" s="18">
        <f>AVERAGE(_xlfn.ANCHORARRAY(C2))</f>
        <v>265.08333333333331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306.55</v>
      </c>
      <c r="T2" s="17" t="s">
        <v>40</v>
      </c>
      <c r="U2" s="18">
        <f>COUNTIF(_xlfn.ANCHORARRAY($I$2),"Mejora")</f>
        <v>65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221.06944444444446</v>
      </c>
      <c r="N3" s="17" t="s">
        <v>36</v>
      </c>
      <c r="O3" s="18">
        <f>AVERAGE(D21:D40)</f>
        <v>139.4</v>
      </c>
      <c r="Q3" s="17" t="s">
        <v>36</v>
      </c>
      <c r="R3" s="18">
        <f>AVERAGE(D2:D21)</f>
        <v>263.45</v>
      </c>
      <c r="T3" s="17" t="s">
        <v>41</v>
      </c>
      <c r="U3" s="18">
        <f>COUNTIF(_xlfn.ANCHORARRAY($I$2),"Empeora")</f>
        <v>5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2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26" t="str">
        <v>Prueba 20</v>
      </c>
      <c r="B21" s="26" t="str">
        <v>238829520 -&gt; 5990070#1 | t=500 | 25/05/2026 08:45</v>
      </c>
      <c r="C21" s="26">
        <v>204</v>
      </c>
      <c r="D21" s="26">
        <v>133</v>
      </c>
      <c r="E21" s="27">
        <f t="shared" si="0"/>
        <v>71</v>
      </c>
      <c r="F21" s="28">
        <v>0.34803921568627449</v>
      </c>
      <c r="G21" s="26">
        <v>41.083200000000005</v>
      </c>
      <c r="H21" s="26">
        <v>1</v>
      </c>
      <c r="I21" s="26" t="str">
        <v>Mejora</v>
      </c>
      <c r="J21">
        <f>COUNT(H21:H40)</f>
        <v>20</v>
      </c>
      <c r="K21" s="25" t="s">
        <v>44</v>
      </c>
      <c r="L21" s="25" t="s">
        <v>43</v>
      </c>
    </row>
    <row r="22" spans="1:12" x14ac:dyDescent="0.3">
      <c r="A22" s="26" t="str">
        <v>Prueba 21</v>
      </c>
      <c r="B22" s="26" t="str">
        <v>238829520 -&gt; 5990070#1 | t=500 | 25/05/2026 11:15</v>
      </c>
      <c r="C22" s="26">
        <v>204</v>
      </c>
      <c r="D22" s="26">
        <v>168</v>
      </c>
      <c r="E22" s="27">
        <f t="shared" si="0"/>
        <v>36</v>
      </c>
      <c r="F22" s="28">
        <v>0.17647058823529416</v>
      </c>
      <c r="G22" s="26">
        <v>32.472000000000001</v>
      </c>
      <c r="H22" s="26">
        <v>1</v>
      </c>
      <c r="I22" s="26" t="str">
        <v>Mejora</v>
      </c>
      <c r="K22" s="25"/>
      <c r="L22" s="25"/>
    </row>
    <row r="23" spans="1:12" x14ac:dyDescent="0.3">
      <c r="A23" s="26" t="str">
        <v>Prueba 22</v>
      </c>
      <c r="B23" s="26" t="str">
        <v>238829520 -&gt; 5990070#1 | t=500 | 25/05/2026 12:10</v>
      </c>
      <c r="C23" s="26">
        <v>200.99999999999997</v>
      </c>
      <c r="D23" s="26">
        <v>129</v>
      </c>
      <c r="E23" s="27">
        <f t="shared" si="0"/>
        <v>71.999999999999972</v>
      </c>
      <c r="F23" s="28">
        <v>0.35820895522388052</v>
      </c>
      <c r="G23" s="26">
        <v>42.422400000000003</v>
      </c>
      <c r="H23" s="26">
        <v>3</v>
      </c>
      <c r="I23" s="26" t="str">
        <v>Mejora</v>
      </c>
      <c r="K23" s="25"/>
      <c r="L23" s="25"/>
    </row>
    <row r="24" spans="1:12" x14ac:dyDescent="0.3">
      <c r="A24" s="26" t="str">
        <v>Prueba 23</v>
      </c>
      <c r="B24" s="26" t="str">
        <v>238829520 -&gt; 5990070#1 | t=500 | 25/05/2026 13:00</v>
      </c>
      <c r="C24" s="26">
        <v>200.99999999999997</v>
      </c>
      <c r="D24" s="26">
        <v>145</v>
      </c>
      <c r="E24" s="27">
        <f t="shared" si="0"/>
        <v>55.999999999999972</v>
      </c>
      <c r="F24" s="28">
        <v>0.27860696517412925</v>
      </c>
      <c r="G24" s="26">
        <v>37.681200000000004</v>
      </c>
      <c r="H24" s="26">
        <v>2</v>
      </c>
      <c r="I24" s="26" t="str">
        <v>Mejora</v>
      </c>
      <c r="K24" s="25"/>
      <c r="L24" s="25"/>
    </row>
    <row r="25" spans="1:12" x14ac:dyDescent="0.3">
      <c r="A25" s="26" t="str">
        <v>Prueba 24</v>
      </c>
      <c r="B25" s="26" t="str">
        <v>238829520 -&gt; 5990070#1 | t=500 | 25/05/2026 13:25</v>
      </c>
      <c r="C25" s="26">
        <v>205</v>
      </c>
      <c r="D25" s="26">
        <v>132</v>
      </c>
      <c r="E25" s="27">
        <f t="shared" si="0"/>
        <v>73</v>
      </c>
      <c r="F25" s="28">
        <v>0.35609756097560968</v>
      </c>
      <c r="G25" s="26">
        <v>41.234400000000001</v>
      </c>
      <c r="H25" s="26">
        <v>1</v>
      </c>
      <c r="I25" s="26" t="str">
        <v>Mejora</v>
      </c>
      <c r="K25" s="25"/>
      <c r="L25" s="25"/>
    </row>
    <row r="26" spans="1:12" x14ac:dyDescent="0.3">
      <c r="A26" s="26" t="str">
        <v>Prueba 25</v>
      </c>
      <c r="B26" s="26" t="str">
        <v>238829520 -&gt; 5990070#1 | t=500 | 25/05/2026 14:00</v>
      </c>
      <c r="C26" s="26">
        <v>200</v>
      </c>
      <c r="D26" s="26">
        <v>200</v>
      </c>
      <c r="E26" s="27">
        <f t="shared" si="0"/>
        <v>0</v>
      </c>
      <c r="F26" s="28">
        <v>0</v>
      </c>
      <c r="G26" s="26">
        <v>34.898400000000002</v>
      </c>
      <c r="H26" s="26">
        <v>0</v>
      </c>
      <c r="I26" s="26" t="str">
        <v>Igual</v>
      </c>
      <c r="K26" s="25"/>
      <c r="L26" s="25"/>
    </row>
    <row r="27" spans="1:12" x14ac:dyDescent="0.3">
      <c r="A27" s="26" t="str">
        <v>Prueba 26</v>
      </c>
      <c r="B27" s="26" t="str">
        <v>238829520 -&gt; 5990070#1 | t=500 | 25/05/2026 17:25</v>
      </c>
      <c r="C27" s="26">
        <v>200</v>
      </c>
      <c r="D27" s="26">
        <v>151</v>
      </c>
      <c r="E27" s="27">
        <f t="shared" si="0"/>
        <v>49</v>
      </c>
      <c r="F27" s="28">
        <v>0.24499999999999994</v>
      </c>
      <c r="G27" s="26">
        <v>36.187199999999997</v>
      </c>
      <c r="H27" s="26">
        <v>3</v>
      </c>
      <c r="I27" s="26" t="str">
        <v>Mejora</v>
      </c>
      <c r="K27" s="25"/>
      <c r="L27" s="25"/>
    </row>
    <row r="28" spans="1:12" x14ac:dyDescent="0.3">
      <c r="A28" s="26" t="str">
        <v>Prueba 27</v>
      </c>
      <c r="B28" s="26" t="str">
        <v>238829520 -&gt; 5990070#1 | t=500 | 25/05/2026 18:05</v>
      </c>
      <c r="C28" s="26">
        <v>199</v>
      </c>
      <c r="D28" s="26">
        <v>128</v>
      </c>
      <c r="E28" s="27">
        <f t="shared" si="0"/>
        <v>71</v>
      </c>
      <c r="F28" s="28">
        <v>0.35678391959798994</v>
      </c>
      <c r="G28" s="26">
        <v>42.7896</v>
      </c>
      <c r="H28" s="26">
        <v>1</v>
      </c>
      <c r="I28" s="26" t="str">
        <v>Mejora</v>
      </c>
      <c r="K28" s="25"/>
      <c r="L28" s="25"/>
    </row>
    <row r="29" spans="1:12" x14ac:dyDescent="0.3">
      <c r="A29" s="26" t="str">
        <v>Prueba 28</v>
      </c>
      <c r="B29" s="26" t="str">
        <v>238829520 -&gt; 5990070#1 | t=500 | 25/05/2026 18:15</v>
      </c>
      <c r="C29" s="26">
        <v>220.00000000000003</v>
      </c>
      <c r="D29" s="26">
        <v>130</v>
      </c>
      <c r="E29" s="27">
        <f t="shared" si="0"/>
        <v>90.000000000000028</v>
      </c>
      <c r="F29" s="28">
        <v>0.40909090909090912</v>
      </c>
      <c r="G29" s="26">
        <v>42.022800000000004</v>
      </c>
      <c r="H29" s="26">
        <v>1</v>
      </c>
      <c r="I29" s="26" t="str">
        <v>Mejora</v>
      </c>
      <c r="K29" s="25"/>
      <c r="L29" s="25"/>
    </row>
    <row r="30" spans="1:12" x14ac:dyDescent="0.3">
      <c r="A30" s="26" t="str">
        <v>Prueba 29</v>
      </c>
      <c r="B30" s="26" t="str">
        <v>238829520 -&gt; 5990070#1 | t=500 | 25/05/2026 18:20</v>
      </c>
      <c r="C30" s="26">
        <v>200</v>
      </c>
      <c r="D30" s="26">
        <v>130</v>
      </c>
      <c r="E30" s="27">
        <f t="shared" si="0"/>
        <v>70</v>
      </c>
      <c r="F30" s="28">
        <v>0.35</v>
      </c>
      <c r="G30" s="26">
        <v>42.022800000000004</v>
      </c>
      <c r="H30" s="26">
        <v>1</v>
      </c>
      <c r="I30" s="26" t="str">
        <v>Mejora</v>
      </c>
      <c r="K30" s="25"/>
      <c r="L30" s="25"/>
    </row>
    <row r="31" spans="1:12" x14ac:dyDescent="0.3">
      <c r="A31" s="26" t="str">
        <v>Prueba 30</v>
      </c>
      <c r="B31" s="26" t="str">
        <v>238829520 -&gt; 5990070#1 | t=500 | 25/05/2026 18:25</v>
      </c>
      <c r="C31" s="26">
        <v>204</v>
      </c>
      <c r="D31" s="26">
        <v>136</v>
      </c>
      <c r="E31" s="27">
        <f t="shared" si="0"/>
        <v>68</v>
      </c>
      <c r="F31" s="28">
        <v>0.33333333333333331</v>
      </c>
      <c r="G31" s="26">
        <v>40.266000000000005</v>
      </c>
      <c r="H31" s="26">
        <v>1</v>
      </c>
      <c r="I31" s="26" t="str">
        <v>Mejora</v>
      </c>
      <c r="K31" s="25"/>
      <c r="L31" s="25"/>
    </row>
    <row r="32" spans="1:12" x14ac:dyDescent="0.3">
      <c r="A32" s="26" t="str">
        <v>Prueba 31</v>
      </c>
      <c r="B32" s="26" t="str">
        <v>238829520 -&gt; 5990070#1 | t=500 | 25/05/2026 18:35</v>
      </c>
      <c r="C32" s="26">
        <v>199</v>
      </c>
      <c r="D32" s="26">
        <v>124</v>
      </c>
      <c r="E32" s="27">
        <f t="shared" si="0"/>
        <v>75</v>
      </c>
      <c r="F32" s="28">
        <v>0.37688442211055273</v>
      </c>
      <c r="G32" s="26">
        <v>44.1252</v>
      </c>
      <c r="H32" s="26">
        <v>3</v>
      </c>
      <c r="I32" s="26" t="str">
        <v>Mejora</v>
      </c>
      <c r="K32" s="25"/>
      <c r="L32" s="25"/>
    </row>
    <row r="33" spans="1:12" x14ac:dyDescent="0.3">
      <c r="A33" s="26" t="str">
        <v>Prueba 32</v>
      </c>
      <c r="B33" s="26" t="str">
        <v>238829520 -&gt; 5990070#1 | t=500 | 25/05/2026 19:52</v>
      </c>
      <c r="C33" s="26">
        <v>200</v>
      </c>
      <c r="D33" s="26">
        <v>164</v>
      </c>
      <c r="E33" s="27">
        <f t="shared" si="0"/>
        <v>36</v>
      </c>
      <c r="F33" s="28">
        <v>0.17999999999999994</v>
      </c>
      <c r="G33" s="26">
        <v>33.260400000000004</v>
      </c>
      <c r="H33" s="26">
        <v>5</v>
      </c>
      <c r="I33" s="26" t="str">
        <v>Mejora</v>
      </c>
      <c r="K33" s="25"/>
      <c r="L33" s="25"/>
    </row>
    <row r="34" spans="1:12" x14ac:dyDescent="0.3">
      <c r="A34" s="26" t="str">
        <v>Prueba 33</v>
      </c>
      <c r="B34" s="26" t="str">
        <v>238829520 -&gt; 5990070#1 | t=500 | 25/05/2026 20:05</v>
      </c>
      <c r="C34" s="26">
        <v>199</v>
      </c>
      <c r="D34" s="26">
        <v>131</v>
      </c>
      <c r="E34" s="27">
        <f t="shared" si="0"/>
        <v>68</v>
      </c>
      <c r="F34" s="28">
        <v>0.34170854271356788</v>
      </c>
      <c r="G34" s="26">
        <v>41.6556</v>
      </c>
      <c r="H34" s="26">
        <v>1</v>
      </c>
      <c r="I34" s="26" t="str">
        <v>Mejora</v>
      </c>
      <c r="K34" s="25"/>
      <c r="L34" s="25"/>
    </row>
    <row r="35" spans="1:12" x14ac:dyDescent="0.3">
      <c r="A35" s="26" t="str">
        <v>Prueba 34</v>
      </c>
      <c r="B35" s="26" t="str">
        <v>238829520 -&gt; 5990070#1 | t=500 | 25/05/2026 20:20</v>
      </c>
      <c r="C35" s="26">
        <v>200</v>
      </c>
      <c r="D35" s="26">
        <v>134</v>
      </c>
      <c r="E35" s="27">
        <f t="shared" si="0"/>
        <v>66</v>
      </c>
      <c r="F35" s="28">
        <v>0.33</v>
      </c>
      <c r="G35" s="26">
        <v>40.885199999999998</v>
      </c>
      <c r="H35" s="26">
        <v>1</v>
      </c>
      <c r="I35" s="26" t="str">
        <v>Mejora</v>
      </c>
      <c r="K35" s="25"/>
      <c r="L35" s="25"/>
    </row>
    <row r="36" spans="1:12" x14ac:dyDescent="0.3">
      <c r="A36" s="26" t="str">
        <v>Prueba 35</v>
      </c>
      <c r="B36" s="26" t="str">
        <v>238829520 -&gt; 5990070#1 | t=500 | 25/05/2026 20:30</v>
      </c>
      <c r="C36" s="26">
        <v>199</v>
      </c>
      <c r="D36" s="26">
        <v>134</v>
      </c>
      <c r="E36" s="27">
        <f t="shared" si="0"/>
        <v>65</v>
      </c>
      <c r="F36" s="28">
        <v>0.32663316582914576</v>
      </c>
      <c r="G36" s="26">
        <v>40.813200000000002</v>
      </c>
      <c r="H36" s="26">
        <v>1</v>
      </c>
      <c r="I36" s="26" t="str">
        <v>Mejora</v>
      </c>
      <c r="K36" s="25"/>
      <c r="L36" s="25"/>
    </row>
    <row r="37" spans="1:12" x14ac:dyDescent="0.3">
      <c r="A37" s="26" t="str">
        <v>Prueba 36</v>
      </c>
      <c r="B37" s="26" t="str">
        <v>238829520 -&gt; 5990070#1 | t=500 | 25/05/2026 20:45</v>
      </c>
      <c r="C37" s="26">
        <v>199</v>
      </c>
      <c r="D37" s="26">
        <v>135</v>
      </c>
      <c r="E37" s="27">
        <f t="shared" si="0"/>
        <v>64</v>
      </c>
      <c r="F37" s="28">
        <v>0.32160804020100497</v>
      </c>
      <c r="G37" s="26">
        <v>40.428000000000004</v>
      </c>
      <c r="H37" s="26">
        <v>1</v>
      </c>
      <c r="I37" s="26" t="str">
        <v>Mejora</v>
      </c>
      <c r="K37" s="25"/>
      <c r="L37" s="25"/>
    </row>
    <row r="38" spans="1:12" x14ac:dyDescent="0.3">
      <c r="A38" s="26" t="str">
        <v>Prueba 37</v>
      </c>
      <c r="B38" s="26" t="str">
        <v>238829520 -&gt; 5990070#1 | t=500 | 25/05/2026 21:35</v>
      </c>
      <c r="C38" s="26">
        <v>199</v>
      </c>
      <c r="D38" s="26">
        <v>127</v>
      </c>
      <c r="E38" s="27">
        <f t="shared" si="0"/>
        <v>72</v>
      </c>
      <c r="F38" s="28">
        <v>0.36180904522613067</v>
      </c>
      <c r="G38" s="26">
        <v>40.510800000000003</v>
      </c>
      <c r="H38" s="26">
        <v>2</v>
      </c>
      <c r="I38" s="26" t="str">
        <v>Mejora</v>
      </c>
      <c r="K38" s="25"/>
      <c r="L38" s="25"/>
    </row>
    <row r="39" spans="1:12" x14ac:dyDescent="0.3">
      <c r="A39" s="26" t="str">
        <v>Prueba 38</v>
      </c>
      <c r="B39" s="26" t="str">
        <v>238829520 -&gt; 5990070#1 | t=500 | 25/05/2026 22:10</v>
      </c>
      <c r="C39" s="26">
        <v>200</v>
      </c>
      <c r="D39" s="26">
        <v>123</v>
      </c>
      <c r="E39" s="27">
        <f t="shared" si="0"/>
        <v>77</v>
      </c>
      <c r="F39" s="28">
        <v>0.38499999999999995</v>
      </c>
      <c r="G39" s="26">
        <v>44.463600000000007</v>
      </c>
      <c r="H39" s="26">
        <v>3</v>
      </c>
      <c r="I39" s="26" t="str">
        <v>Mejora</v>
      </c>
      <c r="K39" s="25"/>
      <c r="L39" s="25"/>
    </row>
    <row r="40" spans="1:12" x14ac:dyDescent="0.3">
      <c r="A40" s="26" t="str">
        <v>Prueba 39</v>
      </c>
      <c r="B40" s="26" t="str">
        <v>238829520 -&gt; 5990070#1 | t=500 | 25/05/2026 23:40</v>
      </c>
      <c r="C40" s="26">
        <v>200.99999999999997</v>
      </c>
      <c r="D40" s="26">
        <v>134</v>
      </c>
      <c r="E40" s="27">
        <f t="shared" si="0"/>
        <v>66.999999999999972</v>
      </c>
      <c r="F40" s="28">
        <v>0.33333333333333331</v>
      </c>
      <c r="G40" s="26">
        <v>40.7196</v>
      </c>
      <c r="H40" s="26">
        <v>1</v>
      </c>
      <c r="I40" s="26" t="str">
        <v>Mejora</v>
      </c>
      <c r="K40" s="25" t="s">
        <v>45</v>
      </c>
      <c r="L40" s="25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</row>
    <row r="48" spans="1:12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</row>
    <row r="49" spans="1:9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</row>
    <row r="50" spans="1:9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</row>
    <row r="51" spans="1:9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</row>
    <row r="52" spans="1:9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</row>
    <row r="53" spans="1:9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</row>
    <row r="54" spans="1:9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</row>
    <row r="55" spans="1:9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</row>
    <row r="56" spans="1:9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</row>
    <row r="57" spans="1:9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</row>
    <row r="58" spans="1:9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</row>
    <row r="59" spans="1:9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</row>
    <row r="60" spans="1:9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</row>
    <row r="61" spans="1:9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</row>
    <row r="62" spans="1:9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</row>
    <row r="63" spans="1:9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</row>
    <row r="64" spans="1:9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</row>
    <row r="65" spans="1:9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</row>
    <row r="66" spans="1:9" x14ac:dyDescent="0.3">
      <c r="A66" s="1" t="str">
        <v>Prueba 65</v>
      </c>
      <c r="B66" s="1" t="str">
        <v>238829520 -&gt; 5989317 | t=500 | 28/07/2026 12:35</v>
      </c>
      <c r="C66" s="1">
        <v>589</v>
      </c>
      <c r="D66" s="1">
        <v>552</v>
      </c>
      <c r="E66" s="18">
        <f t="shared" si="0"/>
        <v>37</v>
      </c>
      <c r="F66" s="7">
        <v>6.2818336162988056E-2</v>
      </c>
      <c r="G66" s="1">
        <v>12.06</v>
      </c>
      <c r="H66" s="1">
        <v>2</v>
      </c>
      <c r="I66" s="1" t="str">
        <v>Mejora</v>
      </c>
    </row>
    <row r="67" spans="1:9" x14ac:dyDescent="0.3">
      <c r="A67" s="1" t="str">
        <v>Prueba 66</v>
      </c>
      <c r="B67" s="1" t="str">
        <v>238829520 -&gt; 5989317 | t=500 | 28/07/2026 12:35</v>
      </c>
      <c r="C67" s="1">
        <v>589</v>
      </c>
      <c r="D67" s="1">
        <v>552</v>
      </c>
      <c r="E67" s="18">
        <f t="shared" ref="E67:E130" si="1">IF(OR(C67="",D67=""),"",C67-D67)</f>
        <v>37</v>
      </c>
      <c r="F67" s="7">
        <v>6.2818336162988056E-2</v>
      </c>
      <c r="G67" s="1">
        <v>12.06</v>
      </c>
      <c r="H67" s="1">
        <v>2</v>
      </c>
      <c r="I67" s="1" t="str">
        <v>Mejora</v>
      </c>
    </row>
    <row r="68" spans="1:9" x14ac:dyDescent="0.3">
      <c r="A68" s="1" t="str">
        <v>Prueba 67</v>
      </c>
      <c r="B68" s="1" t="str">
        <v>238829520 -&gt; 5989317 | t=500 | 28/07/2026 12:55</v>
      </c>
      <c r="C68" s="1">
        <v>492</v>
      </c>
      <c r="D68" s="1">
        <v>489</v>
      </c>
      <c r="E68" s="18">
        <f t="shared" si="1"/>
        <v>3</v>
      </c>
      <c r="F68" s="7">
        <v>6.0975609756097953E-3</v>
      </c>
      <c r="G68" s="1">
        <v>13.6008</v>
      </c>
      <c r="H68" s="1">
        <v>3</v>
      </c>
      <c r="I68" s="1" t="str">
        <v>Mejora</v>
      </c>
    </row>
    <row r="69" spans="1:9" x14ac:dyDescent="0.3">
      <c r="A69" s="1" t="str">
        <v>Prueba 68</v>
      </c>
      <c r="B69" s="1" t="str">
        <v>238829520 -&gt; 5990070#1 | t=500 | 28/07/2026 13:05</v>
      </c>
      <c r="C69" s="1">
        <v>199</v>
      </c>
      <c r="D69" s="1">
        <v>147</v>
      </c>
      <c r="E69" s="18">
        <f t="shared" si="1"/>
        <v>52</v>
      </c>
      <c r="F69" s="7">
        <v>0.2613065326633166</v>
      </c>
      <c r="G69" s="1">
        <v>37.17</v>
      </c>
      <c r="H69" s="1">
        <v>2</v>
      </c>
      <c r="I69" s="1" t="str">
        <v>Mejora</v>
      </c>
    </row>
    <row r="70" spans="1:9" x14ac:dyDescent="0.3">
      <c r="A70" s="1" t="str">
        <v>Prueba 69</v>
      </c>
      <c r="B70" s="1" t="str">
        <v>238829520 -&gt; 5990070#1 | t=500 | 28/07/2026 13:45</v>
      </c>
      <c r="C70" s="1">
        <v>200.99999999999997</v>
      </c>
      <c r="D70" s="1">
        <v>128</v>
      </c>
      <c r="E70" s="18">
        <f t="shared" si="1"/>
        <v>72.999999999999972</v>
      </c>
      <c r="F70" s="7">
        <v>0.36318407960199001</v>
      </c>
      <c r="G70" s="1">
        <v>42.713999999999999</v>
      </c>
      <c r="H70" s="1">
        <v>3</v>
      </c>
      <c r="I70" s="1" t="str">
        <v>Mejora</v>
      </c>
    </row>
    <row r="71" spans="1:9" x14ac:dyDescent="0.3">
      <c r="A71" s="1" t="str">
        <v>Prueba 70</v>
      </c>
      <c r="B71" s="1" t="str">
        <v>238829520 -&gt; 5990070#1 | t=500 | 28/07/2026 14:00</v>
      </c>
      <c r="C71" s="1">
        <v>199</v>
      </c>
      <c r="D71" s="1">
        <v>155</v>
      </c>
      <c r="E71" s="18">
        <f t="shared" si="1"/>
        <v>44</v>
      </c>
      <c r="F71" s="7">
        <v>0.22110552763819094</v>
      </c>
      <c r="G71" s="1">
        <v>35.225999999999999</v>
      </c>
      <c r="H71" s="1">
        <v>5</v>
      </c>
      <c r="I71" s="1" t="str">
        <v>Mejora</v>
      </c>
    </row>
    <row r="72" spans="1:9" x14ac:dyDescent="0.3">
      <c r="A72" s="1" t="str">
        <v>Prueba 71</v>
      </c>
      <c r="B72" s="1" t="str">
        <v>238829520 -&gt; 5990070#1 | t=500 | 28/07/2026 20:35</v>
      </c>
      <c r="C72" s="1">
        <v>204.50000000000003</v>
      </c>
      <c r="D72" s="1">
        <v>203</v>
      </c>
      <c r="E72" s="18">
        <f t="shared" si="1"/>
        <v>1.5000000000000284</v>
      </c>
      <c r="F72" s="7">
        <v>7.3349633251834209E-3</v>
      </c>
      <c r="G72" s="1">
        <v>26.776799999999998</v>
      </c>
      <c r="H72" s="1">
        <v>1</v>
      </c>
      <c r="I72" s="1" t="str">
        <v>Mejora</v>
      </c>
    </row>
    <row r="73" spans="1:9" x14ac:dyDescent="0.3">
      <c r="A73" s="1" t="str">
        <v>Prueba 72</v>
      </c>
      <c r="B73" s="1" t="str">
        <v>238829520 -&gt; 5990070#1 | t=500 | 28/07/2026 20:35</v>
      </c>
      <c r="C73" s="1">
        <v>204.50000000000003</v>
      </c>
      <c r="D73" s="1">
        <v>271</v>
      </c>
      <c r="E73" s="18">
        <f t="shared" si="1"/>
        <v>-66.499999999999972</v>
      </c>
      <c r="F73" s="7">
        <v>-0.32518337408312953</v>
      </c>
      <c r="G73" s="1">
        <v>20.127600000000001</v>
      </c>
      <c r="H73" s="1">
        <v>3</v>
      </c>
      <c r="I73" s="1" t="str">
        <v>Empeora</v>
      </c>
    </row>
    <row r="74" spans="1:9" x14ac:dyDescent="0.3">
      <c r="A74" s="1"/>
      <c r="B74" s="1"/>
      <c r="C74" s="1"/>
      <c r="D74" s="1"/>
      <c r="E74" s="18" t="str">
        <f t="shared" si="1"/>
        <v/>
      </c>
      <c r="F74" s="7"/>
      <c r="G74" s="1"/>
      <c r="H74" s="1"/>
      <c r="I74" s="1"/>
    </row>
    <row r="75" spans="1:9" x14ac:dyDescent="0.3">
      <c r="A75" s="1"/>
      <c r="B75" s="1"/>
      <c r="C75" s="1"/>
      <c r="D75" s="1"/>
      <c r="E75" s="18" t="str">
        <f t="shared" si="1"/>
        <v/>
      </c>
      <c r="F75" s="7"/>
      <c r="G75" s="1"/>
      <c r="H75" s="1"/>
      <c r="I75" s="1"/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2026-07-28T18:48:49Z</dcterms:modified>
</cp:coreProperties>
</file>