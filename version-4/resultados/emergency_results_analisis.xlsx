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C93ED860-1BD8-49BE-B788-A29978A31E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Q2" i="2"/>
  <c r="Q3" i="2"/>
  <c r="Q4" i="2"/>
  <c r="Q5" i="2"/>
  <c r="Q6" i="2"/>
  <c r="Q7" i="2"/>
  <c r="Q8" i="2"/>
  <c r="R8" i="2" s="1"/>
  <c r="Q9" i="2"/>
  <c r="R9" i="2" s="1"/>
  <c r="Q10" i="2"/>
  <c r="Q11" i="2"/>
  <c r="Q12" i="2"/>
  <c r="Q13" i="2"/>
  <c r="Q14" i="2"/>
  <c r="Q15" i="2"/>
  <c r="Q16" i="2"/>
  <c r="R16" i="2" s="1"/>
  <c r="Q17" i="2"/>
  <c r="R17" i="2" s="1"/>
  <c r="Q18" i="2"/>
  <c r="Q19" i="2"/>
  <c r="Q20" i="2"/>
  <c r="Q21" i="2"/>
  <c r="Q22" i="2"/>
  <c r="Q23" i="2"/>
  <c r="Q24" i="2"/>
  <c r="R24" i="2" s="1"/>
  <c r="Q25" i="2"/>
  <c r="R25" i="2" s="1"/>
  <c r="Q26" i="2"/>
  <c r="Q27" i="2"/>
  <c r="Q28" i="2"/>
  <c r="Q29" i="2"/>
  <c r="Q30" i="2"/>
  <c r="Q31" i="2"/>
  <c r="Q32" i="2"/>
  <c r="R32" i="2" s="1"/>
  <c r="Q33" i="2"/>
  <c r="R33" i="2" s="1"/>
  <c r="Q34" i="2"/>
  <c r="Q35" i="2"/>
  <c r="Q36" i="2"/>
  <c r="Q37" i="2"/>
  <c r="Q38" i="2"/>
  <c r="Q39" i="2"/>
  <c r="Q40" i="2"/>
  <c r="R40" i="2" s="1"/>
  <c r="Q41" i="2"/>
  <c r="R41" i="2" s="1"/>
  <c r="Q42" i="2"/>
  <c r="Q43" i="2"/>
  <c r="Q44" i="2"/>
  <c r="Q45" i="2"/>
  <c r="Q46" i="2"/>
  <c r="Q47" i="2"/>
  <c r="Q48" i="2"/>
  <c r="R48" i="2" s="1"/>
  <c r="Q49" i="2"/>
  <c r="R49" i="2" s="1"/>
  <c r="Q50" i="2"/>
  <c r="R50" i="2" s="1"/>
  <c r="Q51" i="2"/>
  <c r="Q52" i="2"/>
  <c r="Q53" i="2"/>
  <c r="Q54" i="2"/>
  <c r="S54" i="2" s="1"/>
  <c r="Q55" i="2"/>
  <c r="Q56" i="2"/>
  <c r="S56" i="2" s="1"/>
  <c r="Q57" i="2"/>
  <c r="R57" i="2" s="1"/>
  <c r="Q58" i="2"/>
  <c r="S58" i="2" s="1"/>
  <c r="Q59" i="2"/>
  <c r="Q60" i="2"/>
  <c r="S60" i="2" s="1"/>
  <c r="Q61" i="2"/>
  <c r="R61" i="2" s="1"/>
  <c r="Q62" i="2"/>
  <c r="S62" i="2" s="1"/>
  <c r="Q63" i="2"/>
  <c r="Q64" i="2"/>
  <c r="Q65" i="2"/>
  <c r="Q66" i="2"/>
  <c r="Q67" i="2"/>
  <c r="Q68" i="2"/>
  <c r="S68" i="2" s="1"/>
  <c r="Q69" i="2"/>
  <c r="S69" i="2" s="1"/>
  <c r="T69" i="2" s="1"/>
  <c r="Q70" i="2"/>
  <c r="S70" i="2" s="1"/>
  <c r="Q71" i="2"/>
  <c r="Q72" i="2"/>
  <c r="S72" i="2" s="1"/>
  <c r="Q73" i="2"/>
  <c r="S73" i="2" s="1"/>
  <c r="T73" i="2" s="1"/>
  <c r="Q74" i="2"/>
  <c r="Q75" i="2"/>
  <c r="Q76" i="2"/>
  <c r="S76" i="2" s="1"/>
  <c r="Q77" i="2"/>
  <c r="R77" i="2" s="1"/>
  <c r="Q78" i="2"/>
  <c r="S78" i="2" s="1"/>
  <c r="Q79" i="2"/>
  <c r="Q80" i="2"/>
  <c r="R80" i="2" s="1"/>
  <c r="Q81" i="2"/>
  <c r="S81" i="2" s="1"/>
  <c r="T81" i="2" s="1"/>
  <c r="Q82" i="2"/>
  <c r="S82" i="2" s="1"/>
  <c r="Q83" i="2"/>
  <c r="Q84" i="2"/>
  <c r="S84" i="2" s="1"/>
  <c r="Q85" i="2"/>
  <c r="R85" i="2" s="1"/>
  <c r="Q86" i="2"/>
  <c r="S86" i="2" s="1"/>
  <c r="Q87" i="2"/>
  <c r="Q88" i="2"/>
  <c r="R88" i="2" s="1"/>
  <c r="Q89" i="2"/>
  <c r="S89" i="2" s="1"/>
  <c r="T89" i="2" s="1"/>
  <c r="Q90" i="2"/>
  <c r="S90" i="2" s="1"/>
  <c r="Q91" i="2"/>
  <c r="Q92" i="2"/>
  <c r="S92" i="2" s="1"/>
  <c r="Q93" i="2"/>
  <c r="R93" i="2" s="1"/>
  <c r="Q94" i="2"/>
  <c r="S94" i="2" s="1"/>
  <c r="Q95" i="2"/>
  <c r="Q96" i="2"/>
  <c r="S96" i="2" s="1"/>
  <c r="Q97" i="2"/>
  <c r="R97" i="2" s="1"/>
  <c r="Q98" i="2"/>
  <c r="R98" i="2" s="1"/>
  <c r="Q99" i="2"/>
  <c r="R99" i="2" s="1"/>
  <c r="R2" i="2"/>
  <c r="R3" i="2"/>
  <c r="R4" i="2"/>
  <c r="R5" i="2"/>
  <c r="R6" i="2"/>
  <c r="R7" i="2"/>
  <c r="R10" i="2"/>
  <c r="R11" i="2"/>
  <c r="R12" i="2"/>
  <c r="R13" i="2"/>
  <c r="R14" i="2"/>
  <c r="R15" i="2"/>
  <c r="R18" i="2"/>
  <c r="R19" i="2"/>
  <c r="R20" i="2"/>
  <c r="R21" i="2"/>
  <c r="R22" i="2"/>
  <c r="R23" i="2"/>
  <c r="R26" i="2"/>
  <c r="R27" i="2"/>
  <c r="R28" i="2"/>
  <c r="R29" i="2"/>
  <c r="R30" i="2"/>
  <c r="R31" i="2"/>
  <c r="R34" i="2"/>
  <c r="R35" i="2"/>
  <c r="R36" i="2"/>
  <c r="R37" i="2"/>
  <c r="R38" i="2"/>
  <c r="R39" i="2"/>
  <c r="R42" i="2"/>
  <c r="R43" i="2"/>
  <c r="R44" i="2"/>
  <c r="R45" i="2"/>
  <c r="R46" i="2"/>
  <c r="R47" i="2"/>
  <c r="R51" i="2"/>
  <c r="R52" i="2"/>
  <c r="R53" i="2"/>
  <c r="R55" i="2"/>
  <c r="R56" i="2"/>
  <c r="R58" i="2"/>
  <c r="R59" i="2"/>
  <c r="R60" i="2"/>
  <c r="R63" i="2"/>
  <c r="R64" i="2"/>
  <c r="R65" i="2"/>
  <c r="R66" i="2"/>
  <c r="R67" i="2"/>
  <c r="R68" i="2"/>
  <c r="R69" i="2"/>
  <c r="R71" i="2"/>
  <c r="R74" i="2"/>
  <c r="R75" i="2"/>
  <c r="R76" i="2"/>
  <c r="R79" i="2"/>
  <c r="R83" i="2"/>
  <c r="R84" i="2"/>
  <c r="R87" i="2"/>
  <c r="R91" i="2"/>
  <c r="R92" i="2"/>
  <c r="R95" i="2"/>
  <c r="R96" i="2"/>
  <c r="S2" i="2"/>
  <c r="S3" i="2"/>
  <c r="S4" i="2"/>
  <c r="S5" i="2"/>
  <c r="T5" i="2" s="1"/>
  <c r="S6" i="2"/>
  <c r="T6" i="2" s="1"/>
  <c r="S7" i="2"/>
  <c r="T7" i="2" s="1"/>
  <c r="S10" i="2"/>
  <c r="S11" i="2"/>
  <c r="S12" i="2"/>
  <c r="S13" i="2"/>
  <c r="T13" i="2" s="1"/>
  <c r="S14" i="2"/>
  <c r="T14" i="2" s="1"/>
  <c r="S15" i="2"/>
  <c r="S18" i="2"/>
  <c r="S19" i="2"/>
  <c r="S20" i="2"/>
  <c r="S21" i="2"/>
  <c r="T21" i="2" s="1"/>
  <c r="S22" i="2"/>
  <c r="S23" i="2"/>
  <c r="T23" i="2" s="1"/>
  <c r="S26" i="2"/>
  <c r="S27" i="2"/>
  <c r="S28" i="2"/>
  <c r="S29" i="2"/>
  <c r="T29" i="2" s="1"/>
  <c r="S30" i="2"/>
  <c r="S31" i="2"/>
  <c r="T31" i="2" s="1"/>
  <c r="S34" i="2"/>
  <c r="S35" i="2"/>
  <c r="S36" i="2"/>
  <c r="S37" i="2"/>
  <c r="T37" i="2" s="1"/>
  <c r="S38" i="2"/>
  <c r="S39" i="2"/>
  <c r="T39" i="2" s="1"/>
  <c r="S42" i="2"/>
  <c r="S43" i="2"/>
  <c r="S44" i="2"/>
  <c r="S45" i="2"/>
  <c r="T45" i="2" s="1"/>
  <c r="S46" i="2"/>
  <c r="S47" i="2"/>
  <c r="T47" i="2" s="1"/>
  <c r="S50" i="2"/>
  <c r="S51" i="2"/>
  <c r="S52" i="2"/>
  <c r="S53" i="2"/>
  <c r="S55" i="2"/>
  <c r="T55" i="2" s="1"/>
  <c r="S59" i="2"/>
  <c r="T59" i="2" s="1"/>
  <c r="S63" i="2"/>
  <c r="S64" i="2"/>
  <c r="S65" i="2"/>
  <c r="T65" i="2" s="1"/>
  <c r="S66" i="2"/>
  <c r="S67" i="2"/>
  <c r="S71" i="2"/>
  <c r="S74" i="2"/>
  <c r="S75" i="2"/>
  <c r="T75" i="2" s="1"/>
  <c r="S77" i="2"/>
  <c r="T77" i="2" s="1"/>
  <c r="S79" i="2"/>
  <c r="S83" i="2"/>
  <c r="S87" i="2"/>
  <c r="T87" i="2" s="1"/>
  <c r="S88" i="2"/>
  <c r="S91" i="2"/>
  <c r="S95" i="2"/>
  <c r="T95" i="2" s="1"/>
  <c r="S98" i="2"/>
  <c r="S99" i="2"/>
  <c r="T99" i="2" s="1"/>
  <c r="T2" i="2"/>
  <c r="T3" i="2"/>
  <c r="T4" i="2"/>
  <c r="T8" i="2"/>
  <c r="T10" i="2"/>
  <c r="T11" i="2"/>
  <c r="T12" i="2"/>
  <c r="T15" i="2"/>
  <c r="T17" i="2"/>
  <c r="T18" i="2"/>
  <c r="T19" i="2"/>
  <c r="T20" i="2"/>
  <c r="T22" i="2"/>
  <c r="T24" i="2"/>
  <c r="T25" i="2"/>
  <c r="T26" i="2"/>
  <c r="T27" i="2"/>
  <c r="T28" i="2"/>
  <c r="T30" i="2"/>
  <c r="T32" i="2"/>
  <c r="T34" i="2"/>
  <c r="T35" i="2"/>
  <c r="T36" i="2"/>
  <c r="T38" i="2"/>
  <c r="T40" i="2"/>
  <c r="T42" i="2"/>
  <c r="T43" i="2"/>
  <c r="T44" i="2"/>
  <c r="T46" i="2"/>
  <c r="T48" i="2"/>
  <c r="T50" i="2"/>
  <c r="T51" i="2"/>
  <c r="T52" i="2"/>
  <c r="T53" i="2"/>
  <c r="T54" i="2"/>
  <c r="T56" i="2"/>
  <c r="T58" i="2"/>
  <c r="T60" i="2"/>
  <c r="T62" i="2"/>
  <c r="T63" i="2"/>
  <c r="T64" i="2"/>
  <c r="T66" i="2"/>
  <c r="T67" i="2"/>
  <c r="T68" i="2"/>
  <c r="T70" i="2"/>
  <c r="T71" i="2"/>
  <c r="T72" i="2"/>
  <c r="T74" i="2"/>
  <c r="T76" i="2"/>
  <c r="T78" i="2"/>
  <c r="T79" i="2"/>
  <c r="T80" i="2"/>
  <c r="T82" i="2"/>
  <c r="T83" i="2"/>
  <c r="T84" i="2"/>
  <c r="T86" i="2"/>
  <c r="T88" i="2"/>
  <c r="T90" i="2"/>
  <c r="T91" i="2"/>
  <c r="T92" i="2"/>
  <c r="T94" i="2"/>
  <c r="T96" i="2"/>
  <c r="T98" i="2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R73" i="2" l="1"/>
  <c r="R82" i="2"/>
  <c r="R72" i="2"/>
  <c r="S97" i="2"/>
  <c r="T97" i="2" s="1"/>
  <c r="S61" i="2"/>
  <c r="T61" i="2" s="1"/>
  <c r="R81" i="2"/>
  <c r="S80" i="2"/>
  <c r="S49" i="2"/>
  <c r="T49" i="2" s="1"/>
  <c r="S41" i="2"/>
  <c r="T41" i="2" s="1"/>
  <c r="S33" i="2"/>
  <c r="T33" i="2" s="1"/>
  <c r="S25" i="2"/>
  <c r="S17" i="2"/>
  <c r="S9" i="2"/>
  <c r="T9" i="2" s="1"/>
  <c r="R89" i="2"/>
  <c r="R90" i="2"/>
  <c r="S57" i="2"/>
  <c r="T57" i="2" s="1"/>
  <c r="S48" i="2"/>
  <c r="S40" i="2"/>
  <c r="S32" i="2"/>
  <c r="S24" i="2"/>
  <c r="S16" i="2"/>
  <c r="T16" i="2" s="1"/>
  <c r="S8" i="2"/>
  <c r="S85" i="2"/>
  <c r="T85" i="2" s="1"/>
  <c r="S93" i="2"/>
  <c r="T93" i="2" s="1"/>
  <c r="R94" i="2"/>
  <c r="R86" i="2"/>
  <c r="R78" i="2"/>
  <c r="R70" i="2"/>
  <c r="R62" i="2"/>
  <c r="R54" i="2"/>
  <c r="I2" i="1" a="1"/>
  <c r="C2" i="1" a="1"/>
  <c r="B2" i="1" a="1"/>
  <c r="D2" i="1" a="1"/>
  <c r="O3" i="1" s="1"/>
  <c r="G2" i="1" a="1"/>
  <c r="G2" i="1" s="1"/>
  <c r="H2" i="1" a="1"/>
  <c r="H2" i="1" s="1"/>
  <c r="E45" i="1" l="1"/>
  <c r="E46" i="1"/>
  <c r="E44" i="1"/>
  <c r="E43" i="1"/>
  <c r="E42" i="1"/>
  <c r="O2" i="1"/>
  <c r="E21" i="1"/>
  <c r="E40" i="1"/>
  <c r="E41" i="1"/>
  <c r="E39" i="1"/>
  <c r="E37" i="1"/>
  <c r="E38" i="1"/>
  <c r="E36" i="1"/>
  <c r="E34" i="1"/>
  <c r="E35" i="1"/>
  <c r="I2" i="1"/>
  <c r="U4" i="1" s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R3" i="1" s="1"/>
  <c r="C2" i="1"/>
  <c r="R2" i="1" s="1"/>
  <c r="F2" i="1" a="1"/>
  <c r="F2" i="1" s="1"/>
  <c r="B2" i="1"/>
  <c r="A2" i="1" a="1"/>
  <c r="A2" i="1" s="1"/>
  <c r="U3" i="1" l="1"/>
  <c r="U2" i="1"/>
  <c r="L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<sst xmlns="http://schemas.openxmlformats.org/spreadsheetml/2006/main" count="349" uniqueCount="48">
  <si>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</si>
  <si>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</si>
  <si>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</si>
  <si>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</si>
  <si>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</si>
  <si>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</si>
  <si>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</si>
  <si>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</si>
  <si>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</si>
  <si>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</si>
  <si>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</si>
  <si>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</si>
  <si>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</si>
  <si>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</si>
  <si>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</si>
  <si>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</si>
  <si>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</si>
  <si>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</si>
  <si>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</si>
  <si>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</si>
  <si>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</si>
  <si>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</si>
  <si>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</si>
  <si>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</si>
  <si>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</si>
  <si>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</si>
  <si>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</si>
  <si>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</si>
  <si>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</si>
  <si>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</si>
  <si>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</si>
  <si>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</si>
  <si>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</si>
  <si>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</si>
  <si>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Tiempo medio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</si>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</sst>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2" borderId="6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  <xf numFmtId="0" fontId="0" fillId="2" borderId="10" xfId="0" applyNumberFormat="1" applyFill="1" applyBorder="1" applyAlignment="1">
      <alignment horizontal="center" vertical="center"/>
    </xf>
  </cellXfs>
  <cellStyles count="1">
    <cellStyle name="Normal" xfId="0" builtinId="0"/>
  </cellStyles>
  <dxfs count="48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Gráficas!$K$2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256.9111111111111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strRef>
              <c:f>Gráficas!$K$3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208.71111111111111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Gráficas!$F$2:$F$1000</c:f>
              <c:numCache>
                <c:formatCode>0.00%</c:formatCode>
                <c:ptCount val="999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  <c:pt idx="20">
                  <c:v>0.34170854271356788</c:v>
                </c:pt>
                <c:pt idx="21">
                  <c:v>0.33</c:v>
                </c:pt>
                <c:pt idx="22">
                  <c:v>0.32663316582914576</c:v>
                </c:pt>
                <c:pt idx="23">
                  <c:v>0.32160804020100497</c:v>
                </c:pt>
                <c:pt idx="24">
                  <c:v>0.36180904522613067</c:v>
                </c:pt>
                <c:pt idx="25">
                  <c:v>0.38499999999999995</c:v>
                </c:pt>
                <c:pt idx="26">
                  <c:v>0.33333333333333331</c:v>
                </c:pt>
                <c:pt idx="27">
                  <c:v>0.34803921568627449</c:v>
                </c:pt>
                <c:pt idx="28">
                  <c:v>0.17647058823529416</c:v>
                </c:pt>
                <c:pt idx="29">
                  <c:v>0.35820895522388052</c:v>
                </c:pt>
                <c:pt idx="30">
                  <c:v>0.27860696517412925</c:v>
                </c:pt>
                <c:pt idx="31">
                  <c:v>0.35609756097560968</c:v>
                </c:pt>
                <c:pt idx="32">
                  <c:v>0.29499999999999993</c:v>
                </c:pt>
                <c:pt idx="33">
                  <c:v>0.24499999999999994</c:v>
                </c:pt>
                <c:pt idx="34">
                  <c:v>0.35678391959798994</c:v>
                </c:pt>
                <c:pt idx="35">
                  <c:v>0.40909090909090912</c:v>
                </c:pt>
                <c:pt idx="36">
                  <c:v>0.35</c:v>
                </c:pt>
                <c:pt idx="37">
                  <c:v>0.33333333333333331</c:v>
                </c:pt>
                <c:pt idx="38">
                  <c:v>0.37688442211055273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</c:numCache>
            </c:numRef>
          </c:xVal>
          <c:yVal>
            <c:numRef>
              <c:f>Gráficas!$H$2:$H$1000</c:f>
              <c:numCache>
                <c:formatCode>General</c:formatCode>
                <c:ptCount val="99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3</c:v>
                </c:pt>
                <c:pt idx="30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3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  <c:pt idx="43">
                  <c:v>3</c:v>
                </c:pt>
                <c:pt idx="4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Gráficas!$N$2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strRef>
              <c:f>Gráficas!$N$3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136.44999999999999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Gráficas!$U$1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Gráficas!$T$2:$T$4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Gráficas!$U$2:$U$4</c:f>
              <c:numCache>
                <c:formatCode>0</c:formatCode>
                <c:ptCount val="3"/>
                <c:pt idx="0">
                  <c:v>41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200</c:v>
                </c:pt>
                <c:pt idx="1">
                  <c:v>199</c:v>
                </c:pt>
                <c:pt idx="2">
                  <c:v>200</c:v>
                </c:pt>
                <c:pt idx="3">
                  <c:v>199</c:v>
                </c:pt>
                <c:pt idx="4">
                  <c:v>199</c:v>
                </c:pt>
                <c:pt idx="5">
                  <c:v>199</c:v>
                </c:pt>
                <c:pt idx="6">
                  <c:v>200</c:v>
                </c:pt>
                <c:pt idx="7">
                  <c:v>200.99999999999997</c:v>
                </c:pt>
                <c:pt idx="8">
                  <c:v>204</c:v>
                </c:pt>
                <c:pt idx="9">
                  <c:v>204</c:v>
                </c:pt>
                <c:pt idx="10">
                  <c:v>200.99999999999997</c:v>
                </c:pt>
                <c:pt idx="11">
                  <c:v>200.99999999999997</c:v>
                </c:pt>
                <c:pt idx="12">
                  <c:v>205</c:v>
                </c:pt>
                <c:pt idx="13">
                  <c:v>200</c:v>
                </c:pt>
                <c:pt idx="14">
                  <c:v>200</c:v>
                </c:pt>
                <c:pt idx="15">
                  <c:v>199</c:v>
                </c:pt>
                <c:pt idx="16">
                  <c:v>220.00000000000003</c:v>
                </c:pt>
                <c:pt idx="17">
                  <c:v>200</c:v>
                </c:pt>
                <c:pt idx="18">
                  <c:v>204</c:v>
                </c:pt>
                <c:pt idx="19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ser>
          <c:idx val="1"/>
          <c:order val="1"/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164</c:v>
                </c:pt>
                <c:pt idx="1">
                  <c:v>131</c:v>
                </c:pt>
                <c:pt idx="2">
                  <c:v>134</c:v>
                </c:pt>
                <c:pt idx="3">
                  <c:v>134</c:v>
                </c:pt>
                <c:pt idx="4">
                  <c:v>135</c:v>
                </c:pt>
                <c:pt idx="5">
                  <c:v>127</c:v>
                </c:pt>
                <c:pt idx="6">
                  <c:v>123</c:v>
                </c:pt>
                <c:pt idx="7">
                  <c:v>134</c:v>
                </c:pt>
                <c:pt idx="8">
                  <c:v>133</c:v>
                </c:pt>
                <c:pt idx="9">
                  <c:v>168</c:v>
                </c:pt>
                <c:pt idx="10">
                  <c:v>129</c:v>
                </c:pt>
                <c:pt idx="11">
                  <c:v>145</c:v>
                </c:pt>
                <c:pt idx="12">
                  <c:v>132</c:v>
                </c:pt>
                <c:pt idx="13">
                  <c:v>141</c:v>
                </c:pt>
                <c:pt idx="14">
                  <c:v>151</c:v>
                </c:pt>
                <c:pt idx="15">
                  <c:v>128</c:v>
                </c:pt>
                <c:pt idx="16">
                  <c:v>130</c:v>
                </c:pt>
                <c:pt idx="17">
                  <c:v>130</c:v>
                </c:pt>
                <c:pt idx="18">
                  <c:v>136</c:v>
                </c:pt>
                <c:pt idx="19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1 día)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36</c:v>
                </c:pt>
                <c:pt idx="1">
                  <c:v>68</c:v>
                </c:pt>
                <c:pt idx="2">
                  <c:v>66</c:v>
                </c:pt>
                <c:pt idx="3">
                  <c:v>65</c:v>
                </c:pt>
                <c:pt idx="4">
                  <c:v>64</c:v>
                </c:pt>
                <c:pt idx="5">
                  <c:v>72</c:v>
                </c:pt>
                <c:pt idx="6">
                  <c:v>77</c:v>
                </c:pt>
                <c:pt idx="7">
                  <c:v>66.999999999999972</c:v>
                </c:pt>
                <c:pt idx="8">
                  <c:v>71</c:v>
                </c:pt>
                <c:pt idx="9">
                  <c:v>36</c:v>
                </c:pt>
                <c:pt idx="10">
                  <c:v>71.999999999999972</c:v>
                </c:pt>
                <c:pt idx="11">
                  <c:v>55.999999999999972</c:v>
                </c:pt>
                <c:pt idx="12">
                  <c:v>73</c:v>
                </c:pt>
                <c:pt idx="13">
                  <c:v>59</c:v>
                </c:pt>
                <c:pt idx="14">
                  <c:v>49</c:v>
                </c:pt>
                <c:pt idx="15">
                  <c:v>71</c:v>
                </c:pt>
                <c:pt idx="16">
                  <c:v>90.000000000000028</c:v>
                </c:pt>
                <c:pt idx="17">
                  <c:v>70</c:v>
                </c:pt>
                <c:pt idx="18">
                  <c:v>68</c:v>
                </c:pt>
                <c:pt idx="19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0.17999999999999994</c:v>
                </c:pt>
                <c:pt idx="1">
                  <c:v>0.34170854271356788</c:v>
                </c:pt>
                <c:pt idx="2">
                  <c:v>0.33</c:v>
                </c:pt>
                <c:pt idx="3">
                  <c:v>0.32663316582914576</c:v>
                </c:pt>
                <c:pt idx="4">
                  <c:v>0.32160804020100497</c:v>
                </c:pt>
                <c:pt idx="5">
                  <c:v>0.36180904522613067</c:v>
                </c:pt>
                <c:pt idx="6">
                  <c:v>0.38499999999999995</c:v>
                </c:pt>
                <c:pt idx="7">
                  <c:v>0.33333333333333331</c:v>
                </c:pt>
                <c:pt idx="8">
                  <c:v>0.34803921568627449</c:v>
                </c:pt>
                <c:pt idx="9">
                  <c:v>0.17647058823529416</c:v>
                </c:pt>
                <c:pt idx="10">
                  <c:v>0.35820895522388052</c:v>
                </c:pt>
                <c:pt idx="11">
                  <c:v>0.27860696517412925</c:v>
                </c:pt>
                <c:pt idx="12">
                  <c:v>0.35609756097560968</c:v>
                </c:pt>
                <c:pt idx="13">
                  <c:v>0.29499999999999993</c:v>
                </c:pt>
                <c:pt idx="14">
                  <c:v>0.24499999999999994</c:v>
                </c:pt>
                <c:pt idx="15">
                  <c:v>0.35678391959798994</c:v>
                </c:pt>
                <c:pt idx="16">
                  <c:v>0.40909090909090912</c:v>
                </c:pt>
                <c:pt idx="17">
                  <c:v>0.35</c:v>
                </c:pt>
                <c:pt idx="18">
                  <c:v>0.33333333333333331</c:v>
                </c:pt>
                <c:pt idx="19">
                  <c:v>0.37688442211055273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Gráficas!$Q$2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Gráficas!$R$2</c:f>
              <c:numCache>
                <c:formatCode>0</c:formatCode>
                <c:ptCount val="1"/>
                <c:pt idx="0">
                  <c:v>306.35000000000002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Gráficas!$Q$3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Gráficas!$R$3</c:f>
              <c:numCache>
                <c:formatCode>0</c:formatCode>
                <c:ptCount val="1"/>
                <c:pt idx="0">
                  <c:v>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414442</xdr:colOff>
      <xdr:row>26</xdr:row>
      <xdr:rowOff>95105</xdr:rowOff>
    </xdr:from>
    <xdr:to>
      <xdr:col>47</xdr:col>
      <xdr:colOff>563217</xdr:colOff>
      <xdr:row>46</xdr:row>
      <xdr:rowOff>136429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431453</xdr:colOff>
      <xdr:row>68</xdr:row>
      <xdr:rowOff>65250</xdr:rowOff>
    </xdr:from>
    <xdr:to>
      <xdr:col>47</xdr:col>
      <xdr:colOff>521881</xdr:colOff>
      <xdr:row>88</xdr:row>
      <xdr:rowOff>105141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424070</xdr:colOff>
      <xdr:row>47</xdr:row>
      <xdr:rowOff>64952</xdr:rowOff>
    </xdr:from>
    <xdr:to>
      <xdr:col>47</xdr:col>
      <xdr:colOff>563218</xdr:colOff>
      <xdr:row>67</xdr:row>
      <xdr:rowOff>104296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88847</xdr:colOff>
      <xdr:row>5</xdr:row>
      <xdr:rowOff>65063</xdr:rowOff>
    </xdr:from>
    <xdr:to>
      <xdr:col>20</xdr:col>
      <xdr:colOff>1264333</xdr:colOff>
      <xdr:row>25</xdr:row>
      <xdr:rowOff>167565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84786</xdr:colOff>
      <xdr:row>47</xdr:row>
      <xdr:rowOff>59815</xdr:rowOff>
    </xdr:from>
    <xdr:to>
      <xdr:col>21</xdr:col>
      <xdr:colOff>7620</xdr:colOff>
      <xdr:row>67</xdr:row>
      <xdr:rowOff>102157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144088</xdr:colOff>
      <xdr:row>5</xdr:row>
      <xdr:rowOff>53788</xdr:rowOff>
    </xdr:from>
    <xdr:to>
      <xdr:col>34</xdr:col>
      <xdr:colOff>242047</xdr:colOff>
      <xdr:row>26</xdr:row>
      <xdr:rowOff>2631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79655</xdr:colOff>
      <xdr:row>26</xdr:row>
      <xdr:rowOff>73905</xdr:rowOff>
    </xdr:from>
    <xdr:to>
      <xdr:col>21</xdr:col>
      <xdr:colOff>4384</xdr:colOff>
      <xdr:row>46</xdr:row>
      <xdr:rowOff>143797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143180</xdr:colOff>
      <xdr:row>26</xdr:row>
      <xdr:rowOff>89903</xdr:rowOff>
    </xdr:from>
    <xdr:to>
      <xdr:col>34</xdr:col>
      <xdr:colOff>251791</xdr:colOff>
      <xdr:row>46</xdr:row>
      <xdr:rowOff>145774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130629</xdr:colOff>
      <xdr:row>47</xdr:row>
      <xdr:rowOff>65314</xdr:rowOff>
    </xdr:from>
    <xdr:to>
      <xdr:col>34</xdr:col>
      <xdr:colOff>258792</xdr:colOff>
      <xdr:row>67</xdr:row>
      <xdr:rowOff>104658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138546</xdr:colOff>
      <xdr:row>68</xdr:row>
      <xdr:rowOff>69272</xdr:rowOff>
    </xdr:from>
    <xdr:to>
      <xdr:col>34</xdr:col>
      <xdr:colOff>263236</xdr:colOff>
      <xdr:row>88</xdr:row>
      <xdr:rowOff>109163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417443</xdr:colOff>
      <xdr:row>5</xdr:row>
      <xdr:rowOff>54427</xdr:rowOff>
    </xdr:from>
    <xdr:to>
      <xdr:col>47</xdr:col>
      <xdr:colOff>564165</xdr:colOff>
      <xdr:row>26</xdr:row>
      <xdr:rowOff>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99" tableType="queryTable" headerRowDxfId="46" dataDxfId="44" headerRowBorderDxfId="45">
  <autoFilter ref="A1:T99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3"/>
    <tableColumn id="2" xr3:uid="{8875E207-7656-4267-B823-C7E520343114}" uniqueName="2" name="from_edge" queryTableFieldId="2" dataDxfId="18" totalsRowDxfId="42"/>
    <tableColumn id="3" xr3:uid="{C1D71A6F-C15E-4E3F-B3E8-4E53F667AAA9}" uniqueName="3" name="to_edge" queryTableFieldId="3" dataDxfId="17" totalsRowDxfId="41"/>
    <tableColumn id="4" xr3:uid="{7C02CC50-B264-48BB-9ED1-F9CB62433332}" uniqueName="4" name="depart_time_s" queryTableFieldId="4" dataDxfId="16" totalsRowDxfId="40"/>
    <tableColumn id="5" xr3:uid="{84C4017E-49DC-4A74-9844-E02BA6A6256F}" uniqueName="5" name="arrival_time_s" queryTableFieldId="5" dataDxfId="15" totalsRowDxfId="39"/>
    <tableColumn id="6" xr3:uid="{64B822F0-2F2E-4BB3-89F9-68F1A5C0C73F}" uniqueName="6" name="travel_time_s" queryTableFieldId="6" dataDxfId="14" totalsRowDxfId="38"/>
    <tableColumn id="7" xr3:uid="{9C1D084C-698C-4580-91F5-ABABFD309737}" uniqueName="7" name="waiting_time_s" queryTableFieldId="7" dataDxfId="13" totalsRowDxfId="37"/>
    <tableColumn id="8" xr3:uid="{A447A697-7A38-49C3-B388-F9B02F5A7E70}" uniqueName="8" name="avg_speed_m_s" queryTableFieldId="8" dataDxfId="12" totalsRowDxfId="36"/>
    <tableColumn id="9" xr3:uid="{DEEF1CB2-D9D7-4554-82AB-9BF754A5D372}" uniqueName="9" name="distance_m" queryTableFieldId="9" dataDxfId="11" totalsRowDxfId="35"/>
    <tableColumn id="10" xr3:uid="{43F85DBF-84F2-44EF-A68D-87A60E932491}" uniqueName="10" name="tls_actions" queryTableFieldId="10" dataDxfId="10" totalsRowDxfId="34"/>
    <tableColumn id="11" xr3:uid="{9FA8088E-D2D4-42E8-ACE7-C9EC4341B6CE}" uniqueName="11" name="arrived" queryTableFieldId="11" dataDxfId="9" totalsRowDxfId="33"/>
    <tableColumn id="12" xr3:uid="{238E5578-7FB5-4297-90CC-B5EDBC46F60B}" uniqueName="12" name="traffic_data_time" queryTableFieldId="12" dataDxfId="8" totalsRowDxfId="32"/>
    <tableColumn id="13" xr3:uid="{8C55C22D-6A81-41B8-91C9-AECDEFA14C8F}" uniqueName="13" name="ESCENARIO" queryTableFieldId="13" dataDxfId="7" totalsRowDxfId="31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0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29">
      <calculatedColumnFormula>IF(H2="","",H2*3.6)</calculatedColumnFormula>
    </tableColumn>
    <tableColumn id="16" xr3:uid="{A4D647BD-3315-40AE-8879-9C4402C0E240}" uniqueName="16" name="distancia_km" queryTableFieldId="16" dataDxfId="4" totalsRowDxfId="28">
      <calculatedColumnFormula>IF(I2="","",I2/1000)</calculatedColumnFormula>
    </tableColumn>
    <tableColumn id="17" xr3:uid="{E57B02F2-42E6-46EA-B725-0039943C43E8}" uniqueName="17" name="tiempo_base_ref" queryTableFieldId="17" dataDxfId="3" totalsRowDxfId="27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6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5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4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096"/>
  <sheetViews>
    <sheetView tabSelected="1" topLeftCell="J32" zoomScale="86" workbookViewId="0">
      <selection activeCell="A99" sqref="A99"/>
    </sheetView>
  </sheetViews>
  <sheetFormatPr baseColWidth="10" defaultRowHeight="14.4" x14ac:dyDescent="0.3"/>
  <cols>
    <col min="1" max="1" width="9.88671875" bestFit="1" customWidth="1"/>
    <col min="2" max="2" width="13" bestFit="1" customWidth="1"/>
    <col min="3" max="3" width="10.6640625" bestFit="1" customWidth="1"/>
    <col min="4" max="4" width="16.21875" bestFit="1" customWidth="1"/>
    <col min="5" max="5" width="16" bestFit="1" customWidth="1"/>
    <col min="6" max="6" width="15.44140625" bestFit="1" customWidth="1"/>
    <col min="7" max="7" width="16.88671875" bestFit="1" customWidth="1"/>
    <col min="8" max="8" width="17.33203125" bestFit="1" customWidth="1"/>
    <col min="9" max="9" width="13.5546875" bestFit="1" customWidth="1"/>
    <col min="10" max="10" width="12.88671875" bestFit="1" customWidth="1"/>
    <col min="11" max="11" width="11.5546875" bestFit="1" customWidth="1"/>
    <col min="12" max="12" width="18.88671875" bestFit="1" customWidth="1"/>
    <col min="13" max="13" width="47.6640625" bestFit="1" customWidth="1"/>
    <col min="14" max="14" width="19.44140625" bestFit="1" customWidth="1"/>
    <col min="15" max="15" width="24.5546875" bestFit="1" customWidth="1"/>
    <col min="16" max="16" width="15.109375" bestFit="1" customWidth="1"/>
    <col min="17" max="17" width="18.33203125" style="5" bestFit="1" customWidth="1"/>
    <col min="18" max="18" width="19.77734375" bestFit="1" customWidth="1"/>
    <col min="19" max="19" width="22.33203125" style="8" bestFit="1" customWidth="1"/>
    <col min="20" max="20" width="18.218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27" t="s">
        <v>12</v>
      </c>
      <c r="B2" s="27" t="s">
        <v>22</v>
      </c>
      <c r="C2" s="27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28" t="str">
        <f t="shared" ref="M2:M33" si="0">B2&amp;" -&gt; "&amp;C2&amp;" | t="&amp;D2&amp;" | "&amp;TEXT(L2,"dd/mm/aaaa hh:mm")</f>
        <v>238829520 -&gt; 5989317 | t=250 | 24/05/2026 11:45</v>
      </c>
      <c r="N2" s="30" t="str">
        <f t="shared" ref="N2:N33" si="1">IF(F2="","",INT(F2/60)&amp;" min "&amp;TEXT(MOD(F2,60),"00")&amp;" s")</f>
        <v>3 min 56 s</v>
      </c>
      <c r="O2" s="11">
        <f t="shared" ref="O2:O33" si="2">IF(H2="","",H2*3.6)</f>
        <v>28.335600000000003</v>
      </c>
      <c r="P2" s="23">
        <f t="shared" ref="P2:P33" si="3">IF(I2="","",I2/1000)</f>
        <v>1.8497059999999999</v>
      </c>
      <c r="Q2" s="12">
        <f t="shared" ref="Q2:Q33" si="4">IFERROR(AVERAGEIFS($F:$F,$A:$A,"base",$B:$B,B2,$C:$C,C2,$D:$D,D2,$K:$K,TRUE,$L:$L,L2)/86400,"")</f>
        <v>2.7314814814814814E-3</v>
      </c>
      <c r="R2" s="30" t="str">
        <f t="shared" ref="R2:R33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33" si="6">IF(OR(A2&lt;&gt;"inteligente",K2&lt;&gt;TRUE,Q2=""),"",(Q2-F2/86400)/Q2)</f>
        <v/>
      </c>
      <c r="T2" s="30" t="str">
        <f t="shared" ref="T2:T33" si="7">IF(K2&lt;&gt;TRUE,"No llega",IF(A2="base","Referencia",IF(S2="","Sin referencia",IF(S2&gt;0,"Mejora",IF(S2&lt;0,"Empeora","Igual")))))</f>
        <v>Referencia</v>
      </c>
    </row>
    <row r="3" spans="1:20" x14ac:dyDescent="0.3">
      <c r="A3" s="27" t="s">
        <v>13</v>
      </c>
      <c r="B3" s="27" t="s">
        <v>22</v>
      </c>
      <c r="C3" s="27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28" t="str">
        <f t="shared" si="0"/>
        <v>238829520 -&gt; 5989317 | t=250 | 24/05/2026 11:45</v>
      </c>
      <c r="N3" s="29" t="str">
        <f t="shared" si="1"/>
        <v>2 min 38 s</v>
      </c>
      <c r="O3" s="6">
        <f t="shared" si="2"/>
        <v>42.184800000000003</v>
      </c>
      <c r="P3" s="24">
        <f t="shared" si="3"/>
        <v>1.8396890000000001</v>
      </c>
      <c r="Q3" s="4">
        <f t="shared" si="4"/>
        <v>2.7314814814814814E-3</v>
      </c>
      <c r="R3" s="29" t="str">
        <f t="shared" si="5"/>
        <v>1 min 18 s</v>
      </c>
      <c r="S3" s="7">
        <f t="shared" si="6"/>
        <v>0.33050847457627119</v>
      </c>
      <c r="T3" s="29" t="str">
        <f t="shared" si="7"/>
        <v>Mejora</v>
      </c>
    </row>
    <row r="4" spans="1:20" x14ac:dyDescent="0.3">
      <c r="A4" s="27" t="s">
        <v>12</v>
      </c>
      <c r="B4" s="27" t="s">
        <v>22</v>
      </c>
      <c r="C4" s="27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28" t="str">
        <f t="shared" si="0"/>
        <v>238829520 -&gt; 5989317 | t=250 | 24/05/2026 12:30</v>
      </c>
      <c r="N4" s="29" t="str">
        <f t="shared" si="1"/>
        <v>2 min 40 s</v>
      </c>
      <c r="O4" s="6">
        <f t="shared" si="2"/>
        <v>41.6556</v>
      </c>
      <c r="P4" s="24">
        <f t="shared" si="3"/>
        <v>1.83979</v>
      </c>
      <c r="Q4" s="4">
        <f t="shared" si="4"/>
        <v>1.8518518518518519E-3</v>
      </c>
      <c r="R4" s="29" t="str">
        <f t="shared" si="5"/>
        <v/>
      </c>
      <c r="S4" s="7" t="str">
        <f t="shared" si="6"/>
        <v/>
      </c>
      <c r="T4" s="29" t="str">
        <f t="shared" si="7"/>
        <v>Referencia</v>
      </c>
    </row>
    <row r="5" spans="1:20" x14ac:dyDescent="0.3">
      <c r="A5" s="27" t="s">
        <v>13</v>
      </c>
      <c r="B5" s="27" t="s">
        <v>22</v>
      </c>
      <c r="C5" s="27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28" t="str">
        <f t="shared" si="0"/>
        <v>238829520 -&gt; 5989317 | t=250 | 24/05/2026 12:30</v>
      </c>
      <c r="N5" s="29" t="str">
        <f t="shared" si="1"/>
        <v>2 min 32 s</v>
      </c>
      <c r="O5" s="6">
        <f t="shared" si="2"/>
        <v>43.869599999999998</v>
      </c>
      <c r="P5" s="24">
        <f t="shared" si="3"/>
        <v>1.84002</v>
      </c>
      <c r="Q5" s="4">
        <f t="shared" si="4"/>
        <v>1.8518518518518519E-3</v>
      </c>
      <c r="R5" s="29" t="str">
        <f t="shared" si="5"/>
        <v>0 min 08 s</v>
      </c>
      <c r="S5" s="7">
        <f t="shared" si="6"/>
        <v>5.0000000000000044E-2</v>
      </c>
      <c r="T5" s="29" t="str">
        <f t="shared" si="7"/>
        <v>Mejora</v>
      </c>
    </row>
    <row r="6" spans="1:20" x14ac:dyDescent="0.3">
      <c r="A6" s="27" t="s">
        <v>13</v>
      </c>
      <c r="B6" s="27" t="s">
        <v>22</v>
      </c>
      <c r="C6" s="27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28" t="str">
        <f t="shared" si="0"/>
        <v>238829520 -&gt; 5989317 | t=500 | 24/05/2026 12:30</v>
      </c>
      <c r="N6" s="29" t="str">
        <f t="shared" si="1"/>
        <v>8 min 18 s</v>
      </c>
      <c r="O6" s="6">
        <f t="shared" si="2"/>
        <v>13.363200000000001</v>
      </c>
      <c r="P6" s="24">
        <f t="shared" si="3"/>
        <v>1.8446559999999999</v>
      </c>
      <c r="Q6" s="4" t="str">
        <f t="shared" si="4"/>
        <v/>
      </c>
      <c r="R6" s="29" t="str">
        <f t="shared" si="5"/>
        <v/>
      </c>
      <c r="S6" s="7" t="str">
        <f t="shared" si="6"/>
        <v/>
      </c>
      <c r="T6" s="29" t="str">
        <f t="shared" si="7"/>
        <v>Sin referencia</v>
      </c>
    </row>
    <row r="7" spans="1:20" x14ac:dyDescent="0.3">
      <c r="A7" s="27" t="s">
        <v>13</v>
      </c>
      <c r="B7" s="27" t="s">
        <v>22</v>
      </c>
      <c r="C7" s="27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28" t="str">
        <f t="shared" si="0"/>
        <v>238829520 -&gt; 5989317 | t=500 | 24/05/2026 12:30</v>
      </c>
      <c r="N7" s="29" t="str">
        <f t="shared" si="1"/>
        <v>8 min 18 s</v>
      </c>
      <c r="O7" s="6">
        <f t="shared" si="2"/>
        <v>13.363200000000001</v>
      </c>
      <c r="P7" s="24">
        <f t="shared" si="3"/>
        <v>1.8446559999999999</v>
      </c>
      <c r="Q7" s="4" t="str">
        <f t="shared" si="4"/>
        <v/>
      </c>
      <c r="R7" s="29" t="str">
        <f t="shared" si="5"/>
        <v/>
      </c>
      <c r="S7" s="7" t="str">
        <f t="shared" si="6"/>
        <v/>
      </c>
      <c r="T7" s="29" t="str">
        <f t="shared" si="7"/>
        <v>Sin referencia</v>
      </c>
    </row>
    <row r="8" spans="1:20" x14ac:dyDescent="0.3">
      <c r="A8" s="27" t="s">
        <v>12</v>
      </c>
      <c r="B8" s="27" t="s">
        <v>22</v>
      </c>
      <c r="C8" s="27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28" t="str">
        <f t="shared" si="0"/>
        <v>238829520 -&gt; 5989317 | t=500 | 24/05/2026 12:40</v>
      </c>
      <c r="N8" s="29" t="str">
        <f t="shared" si="1"/>
        <v>10 min 15 s</v>
      </c>
      <c r="O8" s="6">
        <f t="shared" si="2"/>
        <v>10.814400000000001</v>
      </c>
      <c r="P8" s="24">
        <f t="shared" si="3"/>
        <v>1.8444240000000001</v>
      </c>
      <c r="Q8" s="4">
        <f t="shared" si="4"/>
        <v>7.1180555555555554E-3</v>
      </c>
      <c r="R8" s="29" t="str">
        <f t="shared" si="5"/>
        <v/>
      </c>
      <c r="S8" s="7" t="str">
        <f t="shared" si="6"/>
        <v/>
      </c>
      <c r="T8" s="29" t="str">
        <f t="shared" si="7"/>
        <v>Referencia</v>
      </c>
    </row>
    <row r="9" spans="1:20" x14ac:dyDescent="0.3">
      <c r="A9" s="27" t="s">
        <v>13</v>
      </c>
      <c r="B9" s="27" t="s">
        <v>22</v>
      </c>
      <c r="C9" s="27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28" t="str">
        <f t="shared" si="0"/>
        <v>238829520 -&gt; 5989317 | t=500 | 24/05/2026 12:40</v>
      </c>
      <c r="N9" s="29" t="str">
        <f t="shared" si="1"/>
        <v>8 min 27 s</v>
      </c>
      <c r="O9" s="6">
        <f t="shared" si="2"/>
        <v>13.1256</v>
      </c>
      <c r="P9" s="24">
        <f t="shared" si="3"/>
        <v>1.8449749999999998</v>
      </c>
      <c r="Q9" s="4">
        <f t="shared" si="4"/>
        <v>7.1180555555555554E-3</v>
      </c>
      <c r="R9" s="29" t="str">
        <f t="shared" si="5"/>
        <v>1 min 48 s</v>
      </c>
      <c r="S9" s="7">
        <f t="shared" si="6"/>
        <v>0.17560975609756102</v>
      </c>
      <c r="T9" s="29" t="str">
        <f t="shared" si="7"/>
        <v>Mejora</v>
      </c>
    </row>
    <row r="10" spans="1:20" x14ac:dyDescent="0.3">
      <c r="A10" s="27" t="s">
        <v>12</v>
      </c>
      <c r="B10" s="27" t="s">
        <v>22</v>
      </c>
      <c r="C10" s="27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28" t="str">
        <f t="shared" si="0"/>
        <v>238829520 -&gt; 5989317 | t=300 | 24/05/2026 12:45</v>
      </c>
      <c r="N10" s="29" t="str">
        <f t="shared" si="1"/>
        <v>4 min 37 s</v>
      </c>
      <c r="O10" s="6">
        <f t="shared" si="2"/>
        <v>24.109200000000001</v>
      </c>
      <c r="P10" s="24">
        <f t="shared" si="3"/>
        <v>1.848282</v>
      </c>
      <c r="Q10" s="4">
        <f t="shared" si="4"/>
        <v>3.2060185185185186E-3</v>
      </c>
      <c r="R10" s="29" t="str">
        <f t="shared" si="5"/>
        <v/>
      </c>
      <c r="S10" s="7" t="str">
        <f t="shared" si="6"/>
        <v/>
      </c>
      <c r="T10" s="29" t="str">
        <f t="shared" si="7"/>
        <v>Referencia</v>
      </c>
    </row>
    <row r="11" spans="1:20" x14ac:dyDescent="0.3">
      <c r="A11" s="27" t="s">
        <v>13</v>
      </c>
      <c r="B11" s="27" t="s">
        <v>22</v>
      </c>
      <c r="C11" s="27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28" t="str">
        <f t="shared" si="0"/>
        <v>238829520 -&gt; 5989317 | t=300 | 24/05/2026 12:45</v>
      </c>
      <c r="N11" s="29" t="str">
        <f t="shared" si="1"/>
        <v>3 min 18 s</v>
      </c>
      <c r="O11" s="6">
        <f t="shared" si="2"/>
        <v>33.796799999999998</v>
      </c>
      <c r="P11" s="24">
        <f t="shared" si="3"/>
        <v>1.8493740000000001</v>
      </c>
      <c r="Q11" s="4">
        <f t="shared" si="4"/>
        <v>3.2060185185185186E-3</v>
      </c>
      <c r="R11" s="29" t="str">
        <f t="shared" si="5"/>
        <v>1 min 19 s</v>
      </c>
      <c r="S11" s="7">
        <f t="shared" si="6"/>
        <v>0.2851985559566787</v>
      </c>
      <c r="T11" s="29" t="str">
        <f t="shared" si="7"/>
        <v>Mejora</v>
      </c>
    </row>
    <row r="12" spans="1:20" x14ac:dyDescent="0.3">
      <c r="A12" s="27" t="s">
        <v>12</v>
      </c>
      <c r="B12" s="27" t="s">
        <v>22</v>
      </c>
      <c r="C12" s="27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28" t="str">
        <f t="shared" si="0"/>
        <v>238829520 -&gt; 5989317 | t=250 | 24/05/2026 12:55</v>
      </c>
      <c r="N12" s="29" t="str">
        <f t="shared" si="1"/>
        <v>2 min 35 s</v>
      </c>
      <c r="O12" s="6">
        <f t="shared" si="2"/>
        <v>42.998400000000004</v>
      </c>
      <c r="P12" s="24">
        <f t="shared" si="3"/>
        <v>1.8394059999999999</v>
      </c>
      <c r="Q12" s="4">
        <f t="shared" si="4"/>
        <v>1.7939814814814815E-3</v>
      </c>
      <c r="R12" s="29" t="str">
        <f t="shared" si="5"/>
        <v/>
      </c>
      <c r="S12" s="7" t="str">
        <f t="shared" si="6"/>
        <v/>
      </c>
      <c r="T12" s="29" t="str">
        <f t="shared" si="7"/>
        <v>Referencia</v>
      </c>
    </row>
    <row r="13" spans="1:20" x14ac:dyDescent="0.3">
      <c r="A13" s="27" t="s">
        <v>13</v>
      </c>
      <c r="B13" s="27" t="s">
        <v>22</v>
      </c>
      <c r="C13" s="27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28" t="str">
        <f t="shared" si="0"/>
        <v>238829520 -&gt; 5989317 | t=250 | 24/05/2026 12:55</v>
      </c>
      <c r="N13" s="29" t="str">
        <f t="shared" si="1"/>
        <v>2 min 23 s</v>
      </c>
      <c r="O13" s="6">
        <f t="shared" si="2"/>
        <v>46.897199999999998</v>
      </c>
      <c r="P13" s="24">
        <f t="shared" si="3"/>
        <v>1.8498939999999999</v>
      </c>
      <c r="Q13" s="4">
        <f t="shared" si="4"/>
        <v>1.7939814814814815E-3</v>
      </c>
      <c r="R13" s="29" t="str">
        <f t="shared" si="5"/>
        <v>0 min 12 s</v>
      </c>
      <c r="S13" s="7">
        <f t="shared" si="6"/>
        <v>7.7419354838709695E-2</v>
      </c>
      <c r="T13" s="29" t="str">
        <f t="shared" si="7"/>
        <v>Mejora</v>
      </c>
    </row>
    <row r="14" spans="1:20" x14ac:dyDescent="0.3">
      <c r="A14" s="27" t="s">
        <v>13</v>
      </c>
      <c r="B14" s="27" t="s">
        <v>22</v>
      </c>
      <c r="C14" s="27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28" t="str">
        <f t="shared" si="0"/>
        <v>238829520 -&gt; 5989317 | t=500 | 24/05/2026 13:00</v>
      </c>
      <c r="N14" s="29" t="str">
        <f t="shared" si="1"/>
        <v>9 min 07 s</v>
      </c>
      <c r="O14" s="6">
        <f t="shared" si="2"/>
        <v>12.1752</v>
      </c>
      <c r="P14" s="24">
        <f t="shared" si="3"/>
        <v>1.846503</v>
      </c>
      <c r="Q14" s="4">
        <f t="shared" si="4"/>
        <v>6.6550925925925927E-3</v>
      </c>
      <c r="R14" s="29" t="str">
        <f t="shared" si="5"/>
        <v>0 min 28 s</v>
      </c>
      <c r="S14" s="7">
        <f t="shared" si="6"/>
        <v>4.8695652173913008E-2</v>
      </c>
      <c r="T14" s="29" t="str">
        <f t="shared" si="7"/>
        <v>Mejora</v>
      </c>
    </row>
    <row r="15" spans="1:20" x14ac:dyDescent="0.3">
      <c r="A15" s="27" t="s">
        <v>12</v>
      </c>
      <c r="B15" s="27" t="s">
        <v>22</v>
      </c>
      <c r="C15" s="27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28" t="str">
        <f t="shared" si="0"/>
        <v>238829520 -&gt; 5989317 | t=500 | 24/05/2026 13:00</v>
      </c>
      <c r="N15" s="29" t="str">
        <f t="shared" si="1"/>
        <v>9 min 35 s</v>
      </c>
      <c r="O15" s="6">
        <f t="shared" si="2"/>
        <v>11.5776</v>
      </c>
      <c r="P15" s="24">
        <f t="shared" si="3"/>
        <v>1.845699</v>
      </c>
      <c r="Q15" s="4">
        <f t="shared" si="4"/>
        <v>6.6550925925925927E-3</v>
      </c>
      <c r="R15" s="29" t="str">
        <f t="shared" si="5"/>
        <v/>
      </c>
      <c r="S15" s="7" t="str">
        <f t="shared" si="6"/>
        <v/>
      </c>
      <c r="T15" s="29" t="str">
        <f t="shared" si="7"/>
        <v>Referencia</v>
      </c>
    </row>
    <row r="16" spans="1:20" x14ac:dyDescent="0.3">
      <c r="A16" s="27" t="s">
        <v>13</v>
      </c>
      <c r="B16" s="27" t="s">
        <v>22</v>
      </c>
      <c r="C16" s="27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28" t="str">
        <f t="shared" si="0"/>
        <v>238829520 -&gt; 5989317 | t=250 | 24/05/2026 13:05</v>
      </c>
      <c r="N16" s="29" t="str">
        <f t="shared" si="1"/>
        <v>2 min 29 s</v>
      </c>
      <c r="O16" s="6">
        <f t="shared" si="2"/>
        <v>44.712000000000003</v>
      </c>
      <c r="P16" s="24">
        <f t="shared" si="3"/>
        <v>1.8382270000000001</v>
      </c>
      <c r="Q16" s="4">
        <f t="shared" si="4"/>
        <v>1.8865740740740742E-3</v>
      </c>
      <c r="R16" s="29" t="str">
        <f t="shared" si="5"/>
        <v>0 min 14 s</v>
      </c>
      <c r="S16" s="7">
        <f t="shared" si="6"/>
        <v>8.5889570552147285E-2</v>
      </c>
      <c r="T16" s="29" t="str">
        <f t="shared" si="7"/>
        <v>Mejora</v>
      </c>
    </row>
    <row r="17" spans="1:20" x14ac:dyDescent="0.3">
      <c r="A17" s="27" t="s">
        <v>12</v>
      </c>
      <c r="B17" s="27" t="s">
        <v>22</v>
      </c>
      <c r="C17" s="27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28" t="str">
        <f t="shared" si="0"/>
        <v>238829520 -&gt; 5989317 | t=250 | 24/05/2026 13:05</v>
      </c>
      <c r="N17" s="29" t="str">
        <f t="shared" si="1"/>
        <v>2 min 43 s</v>
      </c>
      <c r="O17" s="6">
        <f t="shared" si="2"/>
        <v>41.072400000000002</v>
      </c>
      <c r="P17" s="24">
        <f t="shared" si="3"/>
        <v>1.8482499999999999</v>
      </c>
      <c r="Q17" s="4">
        <f t="shared" si="4"/>
        <v>1.8865740740740742E-3</v>
      </c>
      <c r="R17" s="29" t="str">
        <f t="shared" si="5"/>
        <v/>
      </c>
      <c r="S17" s="7" t="str">
        <f t="shared" si="6"/>
        <v/>
      </c>
      <c r="T17" s="29" t="str">
        <f t="shared" si="7"/>
        <v>Referencia</v>
      </c>
    </row>
    <row r="18" spans="1:20" x14ac:dyDescent="0.3">
      <c r="A18" s="27" t="s">
        <v>12</v>
      </c>
      <c r="B18" s="27" t="s">
        <v>22</v>
      </c>
      <c r="C18" s="27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28" t="str">
        <f t="shared" si="0"/>
        <v>238829520 -&gt; 5989317 | t=500 | 24/05/2026 13:05</v>
      </c>
      <c r="N18" s="29" t="str">
        <f t="shared" si="1"/>
        <v>8 min 46 s</v>
      </c>
      <c r="O18" s="6">
        <f t="shared" si="2"/>
        <v>12.646800000000001</v>
      </c>
      <c r="P18" s="24">
        <f t="shared" si="3"/>
        <v>1.844454</v>
      </c>
      <c r="Q18" s="4">
        <f t="shared" si="4"/>
        <v>6.0879629629629626E-3</v>
      </c>
      <c r="R18" s="29" t="str">
        <f t="shared" si="5"/>
        <v/>
      </c>
      <c r="S18" s="7" t="str">
        <f t="shared" si="6"/>
        <v/>
      </c>
      <c r="T18" s="29" t="str">
        <f t="shared" si="7"/>
        <v>Referencia</v>
      </c>
    </row>
    <row r="19" spans="1:20" x14ac:dyDescent="0.3">
      <c r="A19" s="27" t="s">
        <v>13</v>
      </c>
      <c r="B19" s="27" t="s">
        <v>22</v>
      </c>
      <c r="C19" s="27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28" t="str">
        <f t="shared" si="0"/>
        <v>238829520 -&gt; 5989317 | t=500 | 24/05/2026 13:05</v>
      </c>
      <c r="N19" s="29" t="str">
        <f t="shared" si="1"/>
        <v>8 min 42 s</v>
      </c>
      <c r="O19" s="6">
        <f t="shared" si="2"/>
        <v>12.7332</v>
      </c>
      <c r="P19" s="24">
        <f t="shared" si="3"/>
        <v>1.8429369999999998</v>
      </c>
      <c r="Q19" s="4">
        <f t="shared" si="4"/>
        <v>6.0879629629629626E-3</v>
      </c>
      <c r="R19" s="29" t="str">
        <f t="shared" si="5"/>
        <v>0 min 04 s</v>
      </c>
      <c r="S19" s="7">
        <f t="shared" si="6"/>
        <v>7.6045627376425404E-3</v>
      </c>
      <c r="T19" s="29" t="str">
        <f t="shared" si="7"/>
        <v>Mejora</v>
      </c>
    </row>
    <row r="20" spans="1:20" x14ac:dyDescent="0.3">
      <c r="A20" s="27" t="s">
        <v>12</v>
      </c>
      <c r="B20" s="27" t="s">
        <v>22</v>
      </c>
      <c r="C20" s="27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28" t="str">
        <f t="shared" si="0"/>
        <v>238829520 -&gt; 5989317 | t=3000 | 24/05/2026 13:15</v>
      </c>
      <c r="N20" s="29" t="str">
        <f t="shared" si="1"/>
        <v>7 min 30 s</v>
      </c>
      <c r="O20" s="6">
        <f t="shared" si="2"/>
        <v>14.7996</v>
      </c>
      <c r="P20" s="24">
        <f t="shared" si="3"/>
        <v>1.845942</v>
      </c>
      <c r="Q20" s="4">
        <f t="shared" si="4"/>
        <v>5.208333333333333E-3</v>
      </c>
      <c r="R20" s="29" t="str">
        <f t="shared" si="5"/>
        <v/>
      </c>
      <c r="S20" s="7" t="str">
        <f t="shared" si="6"/>
        <v/>
      </c>
      <c r="T20" s="29" t="str">
        <f t="shared" si="7"/>
        <v>Referencia</v>
      </c>
    </row>
    <row r="21" spans="1:20" x14ac:dyDescent="0.3">
      <c r="A21" s="27" t="s">
        <v>13</v>
      </c>
      <c r="B21" s="27" t="s">
        <v>22</v>
      </c>
      <c r="C21" s="27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28" t="str">
        <f t="shared" si="0"/>
        <v>238829520 -&gt; 5989317 | t=3000 | 24/05/2026 13:15</v>
      </c>
      <c r="N21" s="29" t="str">
        <f t="shared" si="1"/>
        <v>5 min 56 s</v>
      </c>
      <c r="O21" s="6">
        <f t="shared" si="2"/>
        <v>18.633600000000001</v>
      </c>
      <c r="P21" s="24">
        <f t="shared" si="3"/>
        <v>1.8373280000000001</v>
      </c>
      <c r="Q21" s="4">
        <f t="shared" si="4"/>
        <v>5.208333333333333E-3</v>
      </c>
      <c r="R21" s="29" t="str">
        <f t="shared" si="5"/>
        <v>1 min 34 s</v>
      </c>
      <c r="S21" s="7">
        <f t="shared" si="6"/>
        <v>0.20888888888888879</v>
      </c>
      <c r="T21" s="29" t="str">
        <f t="shared" si="7"/>
        <v>Mejora</v>
      </c>
    </row>
    <row r="22" spans="1:20" x14ac:dyDescent="0.3">
      <c r="A22" s="27" t="s">
        <v>12</v>
      </c>
      <c r="B22" s="27" t="s">
        <v>22</v>
      </c>
      <c r="C22" s="27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28" t="str">
        <f t="shared" si="0"/>
        <v>238829520 -&gt; 5989317 | t=3300 | 24/05/2026 13:20</v>
      </c>
      <c r="N22" s="29" t="str">
        <f t="shared" si="1"/>
        <v>5 min 00 s</v>
      </c>
      <c r="O22" s="6">
        <f t="shared" si="2"/>
        <v>8.2476000000000003</v>
      </c>
      <c r="P22" s="24">
        <f t="shared" si="3"/>
        <v>0.68495099999999998</v>
      </c>
      <c r="Q22" s="4" t="str">
        <f t="shared" si="4"/>
        <v/>
      </c>
      <c r="R22" s="29" t="str">
        <f t="shared" si="5"/>
        <v/>
      </c>
      <c r="S22" s="7" t="str">
        <f t="shared" si="6"/>
        <v/>
      </c>
      <c r="T22" s="29" t="str">
        <f t="shared" si="7"/>
        <v>No llega</v>
      </c>
    </row>
    <row r="23" spans="1:20" x14ac:dyDescent="0.3">
      <c r="A23" s="27" t="s">
        <v>13</v>
      </c>
      <c r="B23" s="27" t="s">
        <v>22</v>
      </c>
      <c r="C23" s="27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28" t="str">
        <f t="shared" si="0"/>
        <v>238829520 -&gt; 5989317 | t=3300 | 24/05/2026 13:25</v>
      </c>
      <c r="N23" s="29" t="str">
        <f t="shared" si="1"/>
        <v>3 min 54 s</v>
      </c>
      <c r="O23" s="6">
        <f t="shared" si="2"/>
        <v>28.4148</v>
      </c>
      <c r="P23" s="24">
        <f t="shared" si="3"/>
        <v>1.8390690000000001</v>
      </c>
      <c r="Q23" s="4" t="str">
        <f t="shared" si="4"/>
        <v/>
      </c>
      <c r="R23" s="29" t="str">
        <f t="shared" si="5"/>
        <v/>
      </c>
      <c r="S23" s="7" t="str">
        <f t="shared" si="6"/>
        <v/>
      </c>
      <c r="T23" s="29" t="str">
        <f t="shared" si="7"/>
        <v>Sin referencia</v>
      </c>
    </row>
    <row r="24" spans="1:20" x14ac:dyDescent="0.3">
      <c r="A24" s="27" t="s">
        <v>12</v>
      </c>
      <c r="B24" s="27" t="s">
        <v>22</v>
      </c>
      <c r="C24" s="27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28" t="str">
        <f t="shared" si="0"/>
        <v>238829520 -&gt; 5989317 | t=3450 | 24/05/2026 13:25</v>
      </c>
      <c r="N24" s="29" t="str">
        <f t="shared" si="1"/>
        <v>2 min 30 s</v>
      </c>
      <c r="O24" s="6">
        <f t="shared" si="2"/>
        <v>18.4284</v>
      </c>
      <c r="P24" s="24">
        <f t="shared" si="3"/>
        <v>0.76280300000000001</v>
      </c>
      <c r="Q24" s="4" t="str">
        <f t="shared" si="4"/>
        <v/>
      </c>
      <c r="R24" s="29" t="str">
        <f t="shared" si="5"/>
        <v/>
      </c>
      <c r="S24" s="7" t="str">
        <f t="shared" si="6"/>
        <v/>
      </c>
      <c r="T24" s="29" t="str">
        <f t="shared" si="7"/>
        <v>No llega</v>
      </c>
    </row>
    <row r="25" spans="1:20" x14ac:dyDescent="0.3">
      <c r="A25" s="27" t="s">
        <v>13</v>
      </c>
      <c r="B25" s="27" t="s">
        <v>22</v>
      </c>
      <c r="C25" s="27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28" t="str">
        <f t="shared" si="0"/>
        <v>238829520 -&gt; 5989317 | t=3450 | 24/05/2026 13:25</v>
      </c>
      <c r="N25" s="29" t="str">
        <f t="shared" si="1"/>
        <v>2 min 30 s</v>
      </c>
      <c r="O25" s="6">
        <f t="shared" si="2"/>
        <v>18.201599999999999</v>
      </c>
      <c r="P25" s="24">
        <f t="shared" si="3"/>
        <v>0.75339200000000006</v>
      </c>
      <c r="Q25" s="4" t="str">
        <f t="shared" si="4"/>
        <v/>
      </c>
      <c r="R25" s="29" t="str">
        <f t="shared" si="5"/>
        <v/>
      </c>
      <c r="S25" s="7" t="str">
        <f t="shared" si="6"/>
        <v/>
      </c>
      <c r="T25" s="29" t="str">
        <f t="shared" si="7"/>
        <v>No llega</v>
      </c>
    </row>
    <row r="26" spans="1:20" x14ac:dyDescent="0.3">
      <c r="A26" s="27" t="s">
        <v>12</v>
      </c>
      <c r="B26" s="27" t="s">
        <v>22</v>
      </c>
      <c r="C26" s="27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28" t="str">
        <f t="shared" si="0"/>
        <v>238829520 -&gt; 5989317 | t=250 | 24/05/2026 13:25</v>
      </c>
      <c r="N26" s="29" t="str">
        <f t="shared" si="1"/>
        <v>3 min 50 s</v>
      </c>
      <c r="O26" s="6">
        <f t="shared" si="2"/>
        <v>28.875600000000002</v>
      </c>
      <c r="P26" s="24">
        <f t="shared" si="3"/>
        <v>1.8367519999999999</v>
      </c>
      <c r="Q26" s="4">
        <f t="shared" si="4"/>
        <v>2.662037037037037E-3</v>
      </c>
      <c r="R26" s="29" t="str">
        <f t="shared" si="5"/>
        <v/>
      </c>
      <c r="S26" s="7" t="str">
        <f t="shared" si="6"/>
        <v/>
      </c>
      <c r="T26" s="29" t="str">
        <f t="shared" si="7"/>
        <v>Referencia</v>
      </c>
    </row>
    <row r="27" spans="1:20" x14ac:dyDescent="0.3">
      <c r="A27" s="27" t="s">
        <v>13</v>
      </c>
      <c r="B27" s="27" t="s">
        <v>22</v>
      </c>
      <c r="C27" s="27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28" t="str">
        <f t="shared" si="0"/>
        <v>238829520 -&gt; 5989317 | t=250 | 24/05/2026 13:25</v>
      </c>
      <c r="N27" s="29" t="str">
        <f t="shared" si="1"/>
        <v>2 min 38 s</v>
      </c>
      <c r="O27" s="6">
        <f t="shared" si="2"/>
        <v>42.156000000000006</v>
      </c>
      <c r="P27" s="24">
        <f t="shared" si="3"/>
        <v>1.8384390000000002</v>
      </c>
      <c r="Q27" s="4">
        <f t="shared" si="4"/>
        <v>2.662037037037037E-3</v>
      </c>
      <c r="R27" s="29" t="str">
        <f t="shared" si="5"/>
        <v>1 min 12 s</v>
      </c>
      <c r="S27" s="7">
        <f t="shared" si="6"/>
        <v>0.31304347826086953</v>
      </c>
      <c r="T27" s="29" t="str">
        <f t="shared" si="7"/>
        <v>Mejora</v>
      </c>
    </row>
    <row r="28" spans="1:20" x14ac:dyDescent="0.3">
      <c r="A28" s="27" t="s">
        <v>12</v>
      </c>
      <c r="B28" s="27" t="s">
        <v>22</v>
      </c>
      <c r="C28" s="27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28" t="str">
        <f t="shared" si="0"/>
        <v>238829520 -&gt; 5990070#1 | t=250 | 24/05/2026 13:30</v>
      </c>
      <c r="N28" s="29" t="str">
        <f t="shared" si="1"/>
        <v>2 min 59 s</v>
      </c>
      <c r="O28" s="6">
        <f t="shared" si="2"/>
        <v>30.466799999999999</v>
      </c>
      <c r="P28" s="24">
        <f t="shared" si="3"/>
        <v>1.5064580000000001</v>
      </c>
      <c r="Q28" s="4">
        <f t="shared" si="4"/>
        <v>2.0717592592592593E-3</v>
      </c>
      <c r="R28" s="29" t="str">
        <f t="shared" si="5"/>
        <v/>
      </c>
      <c r="S28" s="7" t="str">
        <f t="shared" si="6"/>
        <v/>
      </c>
      <c r="T28" s="29" t="str">
        <f t="shared" si="7"/>
        <v>Referencia</v>
      </c>
    </row>
    <row r="29" spans="1:20" x14ac:dyDescent="0.3">
      <c r="A29" s="27" t="s">
        <v>13</v>
      </c>
      <c r="B29" s="27" t="s">
        <v>22</v>
      </c>
      <c r="C29" s="27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28" t="str">
        <f t="shared" si="0"/>
        <v>238829520 -&gt; 5990070#1 | t=250 | 24/05/2026 13:30</v>
      </c>
      <c r="N29" s="29" t="str">
        <f t="shared" si="1"/>
        <v>2 min 06 s</v>
      </c>
      <c r="O29" s="6">
        <f t="shared" si="2"/>
        <v>43.513199999999998</v>
      </c>
      <c r="P29" s="24">
        <f t="shared" si="3"/>
        <v>1.5108379999999999</v>
      </c>
      <c r="Q29" s="4">
        <f t="shared" si="4"/>
        <v>2.0717592592592593E-3</v>
      </c>
      <c r="R29" s="29" t="str">
        <f t="shared" si="5"/>
        <v>0 min 53 s</v>
      </c>
      <c r="S29" s="7">
        <f t="shared" si="6"/>
        <v>0.2960893854748603</v>
      </c>
      <c r="T29" s="29" t="str">
        <f t="shared" si="7"/>
        <v>Mejora</v>
      </c>
    </row>
    <row r="30" spans="1:20" x14ac:dyDescent="0.3">
      <c r="A30" s="27" t="s">
        <v>12</v>
      </c>
      <c r="B30" s="27" t="s">
        <v>22</v>
      </c>
      <c r="C30" s="27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28" t="str">
        <f t="shared" si="0"/>
        <v>238829520 -&gt; 5990070#1 | t=1000 | 24/05/2026 13:35</v>
      </c>
      <c r="N30" s="29" t="str">
        <f t="shared" si="1"/>
        <v>5 min 25 s</v>
      </c>
      <c r="O30" s="6">
        <f t="shared" si="2"/>
        <v>16.732800000000001</v>
      </c>
      <c r="P30" s="24">
        <f t="shared" si="3"/>
        <v>1.505846</v>
      </c>
      <c r="Q30" s="4">
        <f t="shared" si="4"/>
        <v>3.7615740740740739E-3</v>
      </c>
      <c r="R30" s="29" t="str">
        <f t="shared" si="5"/>
        <v/>
      </c>
      <c r="S30" s="7" t="str">
        <f t="shared" si="6"/>
        <v/>
      </c>
      <c r="T30" s="29" t="str">
        <f t="shared" si="7"/>
        <v>Referencia</v>
      </c>
    </row>
    <row r="31" spans="1:20" x14ac:dyDescent="0.3">
      <c r="A31" s="27" t="s">
        <v>13</v>
      </c>
      <c r="B31" s="27" t="s">
        <v>22</v>
      </c>
      <c r="C31" s="27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28" t="str">
        <f t="shared" si="0"/>
        <v>238829520 -&gt; 5990070#1 | t=1000 | 24/05/2026 13:35</v>
      </c>
      <c r="N31" s="29" t="str">
        <f t="shared" si="1"/>
        <v>5 min 29 s</v>
      </c>
      <c r="O31" s="6">
        <f t="shared" si="2"/>
        <v>16.541999999999998</v>
      </c>
      <c r="P31" s="24">
        <f t="shared" si="3"/>
        <v>1.507204</v>
      </c>
      <c r="Q31" s="4">
        <f t="shared" si="4"/>
        <v>3.7615740740740739E-3</v>
      </c>
      <c r="R31" s="29" t="str">
        <f t="shared" si="5"/>
        <v>-0 min 04 s</v>
      </c>
      <c r="S31" s="7">
        <f t="shared" si="6"/>
        <v>-1.2307692307692349E-2</v>
      </c>
      <c r="T31" s="29" t="str">
        <f t="shared" si="7"/>
        <v>Empeora</v>
      </c>
    </row>
    <row r="32" spans="1:20" x14ac:dyDescent="0.3">
      <c r="A32" s="27" t="s">
        <v>12</v>
      </c>
      <c r="B32" s="27" t="s">
        <v>22</v>
      </c>
      <c r="C32" s="27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28" t="str">
        <f t="shared" si="0"/>
        <v>238829520 -&gt; 5990070#1 | t=2000 | 24/05/2026 13:35</v>
      </c>
      <c r="N32" s="29" t="str">
        <f t="shared" si="1"/>
        <v>6 min 06 s</v>
      </c>
      <c r="O32" s="6">
        <f t="shared" si="2"/>
        <v>14.860800000000001</v>
      </c>
      <c r="P32" s="24">
        <f t="shared" si="3"/>
        <v>1.5066649999999999</v>
      </c>
      <c r="Q32" s="4">
        <f t="shared" si="4"/>
        <v>4.2361111111111115E-3</v>
      </c>
      <c r="R32" s="29" t="str">
        <f t="shared" si="5"/>
        <v/>
      </c>
      <c r="S32" s="7" t="str">
        <f t="shared" si="6"/>
        <v/>
      </c>
      <c r="T32" s="29" t="str">
        <f t="shared" si="7"/>
        <v>Referencia</v>
      </c>
    </row>
    <row r="33" spans="1:23" x14ac:dyDescent="0.3">
      <c r="A33" s="27" t="s">
        <v>13</v>
      </c>
      <c r="B33" s="27" t="s">
        <v>22</v>
      </c>
      <c r="C33" s="27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28" t="str">
        <f t="shared" si="0"/>
        <v>238829520 -&gt; 5990070#1 | t=2000 | 24/05/2026 13:35</v>
      </c>
      <c r="N33" s="29" t="str">
        <f t="shared" si="1"/>
        <v>3 min 01 s</v>
      </c>
      <c r="O33" s="6">
        <f t="shared" si="2"/>
        <v>30.099600000000002</v>
      </c>
      <c r="P33" s="24">
        <f t="shared" si="3"/>
        <v>1.5049459999999999</v>
      </c>
      <c r="Q33" s="4">
        <f t="shared" si="4"/>
        <v>4.2361111111111115E-3</v>
      </c>
      <c r="R33" s="29" t="str">
        <f t="shared" si="5"/>
        <v>3 min 05 s</v>
      </c>
      <c r="S33" s="7">
        <f t="shared" si="6"/>
        <v>0.50546448087431706</v>
      </c>
      <c r="T33" s="29" t="str">
        <f t="shared" si="7"/>
        <v>Mejora</v>
      </c>
    </row>
    <row r="34" spans="1:23" x14ac:dyDescent="0.3">
      <c r="A34" s="27" t="s">
        <v>12</v>
      </c>
      <c r="B34" s="27" t="s">
        <v>22</v>
      </c>
      <c r="C34" s="27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28" t="str">
        <f t="shared" ref="M34:M65" si="8">B34&amp;" -&gt; "&amp;C34&amp;" | t="&amp;D34&amp;" | "&amp;TEXT(L34,"dd/mm/aaaa hh:mm")</f>
        <v>238829520 -&gt; 5990070#1 | t=3000 | 24/05/2026 13:35</v>
      </c>
      <c r="N34" s="29" t="str">
        <f t="shared" ref="N34:N65" si="9">IF(F34="","",INT(F34/60)&amp;" min "&amp;TEXT(MOD(F34,60),"00")&amp;" s")</f>
        <v>2 min 14 s</v>
      </c>
      <c r="O34" s="6">
        <f t="shared" ref="O34:O65" si="10">IF(H34="","",H34*3.6)</f>
        <v>40.7988</v>
      </c>
      <c r="P34" s="24">
        <f t="shared" ref="P34:P65" si="11">IF(I34="","",I34/1000)</f>
        <v>1.507317</v>
      </c>
      <c r="Q34" s="4">
        <f t="shared" ref="Q34:Q65" si="12">IFERROR(AVERAGEIFS($F:$F,$A:$A,"base",$B:$B,B34,$C:$C,C34,$D:$D,D34,$K:$K,TRUE,$L:$L,L34)/86400,"")</f>
        <v>1.5509259259259259E-3</v>
      </c>
      <c r="R34" s="29" t="str">
        <f t="shared" ref="R34:R65" si="13">IF(OR(A34&lt;&gt;"inteligente",K34&lt;&gt;TRUE,Q34=""),"",IF(Q34-F34/86400&lt;0,"-","")&amp;INT(ABS(Q34-F34/86400)*1440)&amp;" min "&amp;TEXT(MOD(ABS(Q34-F34/86400)*86400,60),"00")&amp;" s")</f>
        <v/>
      </c>
      <c r="S34" s="7" t="str">
        <f t="shared" ref="S34:S65" si="14">IF(OR(A34&lt;&gt;"inteligente",K34&lt;&gt;TRUE,Q34=""),"",(Q34-F34/86400)/Q34)</f>
        <v/>
      </c>
      <c r="T34" s="29" t="str">
        <f t="shared" ref="T34:T65" si="15">IF(K34&lt;&gt;TRUE,"No llega",IF(A34="base","Referencia",IF(S34="","Sin referencia",IF(S34&gt;0,"Mejora",IF(S34&lt;0,"Empeora","Igual")))))</f>
        <v>Referencia</v>
      </c>
    </row>
    <row r="35" spans="1:23" x14ac:dyDescent="0.3">
      <c r="A35" s="27" t="s">
        <v>13</v>
      </c>
      <c r="B35" s="27" t="s">
        <v>22</v>
      </c>
      <c r="C35" s="27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28" t="str">
        <f t="shared" si="8"/>
        <v>238829520 -&gt; 5990070#1 | t=3000 | 24/05/2026 13:35</v>
      </c>
      <c r="N35" s="29" t="str">
        <f t="shared" si="9"/>
        <v>1 min 59 s</v>
      </c>
      <c r="O35" s="6">
        <f t="shared" si="10"/>
        <v>46.043999999999997</v>
      </c>
      <c r="P35" s="24">
        <f t="shared" si="11"/>
        <v>1.5092019999999999</v>
      </c>
      <c r="Q35" s="4">
        <f t="shared" si="12"/>
        <v>1.5509259259259259E-3</v>
      </c>
      <c r="R35" s="29" t="str">
        <f t="shared" si="13"/>
        <v>0 min 15 s</v>
      </c>
      <c r="S35" s="7">
        <f t="shared" si="14"/>
        <v>0.11194029850746272</v>
      </c>
      <c r="T35" s="29" t="str">
        <f t="shared" si="15"/>
        <v>Mejora</v>
      </c>
    </row>
    <row r="36" spans="1:23" x14ac:dyDescent="0.3">
      <c r="A36" s="27" t="s">
        <v>12</v>
      </c>
      <c r="B36" s="27" t="s">
        <v>22</v>
      </c>
      <c r="C36" s="27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28" t="str">
        <f t="shared" si="8"/>
        <v>238829520 -&gt; 5990070#1 | t=250 | 24/05/2026 18:25</v>
      </c>
      <c r="N36" s="29" t="str">
        <f t="shared" si="9"/>
        <v>3 min 00 s</v>
      </c>
      <c r="O36" s="6">
        <f t="shared" si="10"/>
        <v>30.312000000000001</v>
      </c>
      <c r="P36" s="24">
        <f t="shared" si="11"/>
        <v>1.507204</v>
      </c>
      <c r="Q36" s="4">
        <f t="shared" si="12"/>
        <v>2.0833333333333333E-3</v>
      </c>
      <c r="R36" s="29" t="str">
        <f t="shared" si="13"/>
        <v/>
      </c>
      <c r="S36" s="7" t="str">
        <f t="shared" si="14"/>
        <v/>
      </c>
      <c r="T36" s="29" t="str">
        <f t="shared" si="15"/>
        <v>Referencia</v>
      </c>
    </row>
    <row r="37" spans="1:23" x14ac:dyDescent="0.3">
      <c r="A37" s="27" t="s">
        <v>13</v>
      </c>
      <c r="B37" s="27" t="s">
        <v>22</v>
      </c>
      <c r="C37" s="27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28" t="str">
        <f t="shared" si="8"/>
        <v>238829520 -&gt; 5990070#1 | t=250 | 24/05/2026 18:25</v>
      </c>
      <c r="N37" s="29" t="str">
        <f t="shared" si="9"/>
        <v>1 min 59 s</v>
      </c>
      <c r="O37" s="6">
        <f t="shared" si="10"/>
        <v>45.972000000000001</v>
      </c>
      <c r="P37" s="24">
        <f t="shared" si="11"/>
        <v>1.506915</v>
      </c>
      <c r="Q37" s="4">
        <f t="shared" si="12"/>
        <v>2.0833333333333333E-3</v>
      </c>
      <c r="R37" s="29" t="str">
        <f t="shared" si="13"/>
        <v>1 min 01 s</v>
      </c>
      <c r="S37" s="7">
        <f t="shared" si="14"/>
        <v>0.33888888888888891</v>
      </c>
      <c r="T37" s="29" t="str">
        <f t="shared" si="15"/>
        <v>Mejora</v>
      </c>
    </row>
    <row r="38" spans="1:23" x14ac:dyDescent="0.3">
      <c r="A38" s="27" t="s">
        <v>12</v>
      </c>
      <c r="B38" s="27" t="s">
        <v>22</v>
      </c>
      <c r="C38" s="27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28" t="str">
        <f t="shared" si="8"/>
        <v>238829520 -&gt; 5990070#1 | t=1000 | 24/05/2026 18:30</v>
      </c>
      <c r="N38" s="29" t="str">
        <f t="shared" si="9"/>
        <v>8 min 55 s</v>
      </c>
      <c r="O38" s="6">
        <f t="shared" si="10"/>
        <v>10.1592</v>
      </c>
      <c r="P38" s="24">
        <f t="shared" si="11"/>
        <v>1.506702</v>
      </c>
      <c r="Q38" s="4">
        <f t="shared" si="12"/>
        <v>6.1921296296296299E-3</v>
      </c>
      <c r="R38" s="29" t="str">
        <f t="shared" si="13"/>
        <v/>
      </c>
      <c r="S38" s="7" t="str">
        <f t="shared" si="14"/>
        <v/>
      </c>
      <c r="T38" s="29" t="str">
        <f t="shared" si="15"/>
        <v>Referencia</v>
      </c>
    </row>
    <row r="39" spans="1:23" x14ac:dyDescent="0.3">
      <c r="A39" s="27" t="s">
        <v>13</v>
      </c>
      <c r="B39" s="27" t="s">
        <v>22</v>
      </c>
      <c r="C39" s="27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28" t="str">
        <f t="shared" si="8"/>
        <v>238829520 -&gt; 5990070#1 | t=1000 | 24/05/2026 18:30</v>
      </c>
      <c r="N39" s="29" t="str">
        <f t="shared" si="9"/>
        <v>11 min 45 s</v>
      </c>
      <c r="O39" s="6">
        <f t="shared" si="10"/>
        <v>7.7111999999999998</v>
      </c>
      <c r="P39" s="24">
        <f t="shared" si="11"/>
        <v>1.4947219999999999</v>
      </c>
      <c r="Q39" s="4">
        <f t="shared" si="12"/>
        <v>6.1921296296296299E-3</v>
      </c>
      <c r="R39" s="29" t="str">
        <f t="shared" si="13"/>
        <v>-2 min 50 s</v>
      </c>
      <c r="S39" s="7">
        <f t="shared" si="14"/>
        <v>-0.31775700934579443</v>
      </c>
      <c r="T39" s="29" t="str">
        <f t="shared" si="15"/>
        <v>Empeora</v>
      </c>
    </row>
    <row r="40" spans="1:23" x14ac:dyDescent="0.3">
      <c r="A40" s="27" t="s">
        <v>12</v>
      </c>
      <c r="B40" s="27" t="s">
        <v>22</v>
      </c>
      <c r="C40" s="27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28" t="str">
        <f t="shared" si="8"/>
        <v>238829520 -&gt; 5990070#1 | t=500 | 24/05/2026 18:30</v>
      </c>
      <c r="N40" s="29" t="str">
        <f t="shared" si="9"/>
        <v>3 min 19 s</v>
      </c>
      <c r="O40" s="6">
        <f t="shared" si="10"/>
        <v>27.392400000000002</v>
      </c>
      <c r="P40" s="24">
        <f t="shared" si="11"/>
        <v>1.5065329999999999</v>
      </c>
      <c r="Q40" s="4">
        <f t="shared" si="12"/>
        <v>2.3032407407407407E-3</v>
      </c>
      <c r="R40" s="29" t="str">
        <f t="shared" si="13"/>
        <v/>
      </c>
      <c r="S40" s="7" t="str">
        <f t="shared" si="14"/>
        <v/>
      </c>
      <c r="T40" s="29" t="str">
        <f t="shared" si="15"/>
        <v>Referencia</v>
      </c>
    </row>
    <row r="41" spans="1:23" x14ac:dyDescent="0.3">
      <c r="A41" s="27" t="s">
        <v>13</v>
      </c>
      <c r="B41" s="27" t="s">
        <v>22</v>
      </c>
      <c r="C41" s="27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28" t="str">
        <f t="shared" si="8"/>
        <v>238829520 -&gt; 5990070#1 | t=500 | 24/05/2026 18:30</v>
      </c>
      <c r="N41" s="29" t="str">
        <f t="shared" si="9"/>
        <v>2 min 03 s</v>
      </c>
      <c r="O41" s="6">
        <f t="shared" si="10"/>
        <v>44.517600000000002</v>
      </c>
      <c r="P41" s="24">
        <f t="shared" si="11"/>
        <v>1.5086630000000001</v>
      </c>
      <c r="Q41" s="4">
        <f t="shared" si="12"/>
        <v>2.3032407407407407E-3</v>
      </c>
      <c r="R41" s="29" t="str">
        <f t="shared" si="13"/>
        <v>1 min 16 s</v>
      </c>
      <c r="S41" s="7">
        <f t="shared" si="14"/>
        <v>0.3819095477386934</v>
      </c>
      <c r="T41" s="29" t="str">
        <f t="shared" si="15"/>
        <v>Mejora</v>
      </c>
    </row>
    <row r="42" spans="1:23" x14ac:dyDescent="0.3">
      <c r="A42" s="27" t="s">
        <v>12</v>
      </c>
      <c r="B42" s="27" t="s">
        <v>22</v>
      </c>
      <c r="C42" s="27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28" t="str">
        <f t="shared" si="8"/>
        <v>238829520 -&gt; 5990070#1 | t=500 | 24/05/2026 19:35</v>
      </c>
      <c r="N42" s="29" t="str">
        <f t="shared" si="9"/>
        <v>3 min 19 s</v>
      </c>
      <c r="O42" s="6">
        <f t="shared" si="10"/>
        <v>27.4176</v>
      </c>
      <c r="P42" s="24">
        <f t="shared" si="11"/>
        <v>1.508046</v>
      </c>
      <c r="Q42" s="4">
        <f t="shared" si="12"/>
        <v>2.3032407407407407E-3</v>
      </c>
      <c r="R42" s="29" t="str">
        <f t="shared" si="13"/>
        <v/>
      </c>
      <c r="S42" s="7" t="str">
        <f t="shared" si="14"/>
        <v/>
      </c>
      <c r="T42" s="29" t="str">
        <f t="shared" si="15"/>
        <v>Referencia</v>
      </c>
    </row>
    <row r="43" spans="1:23" x14ac:dyDescent="0.3">
      <c r="A43" s="27" t="s">
        <v>13</v>
      </c>
      <c r="B43" s="27" t="s">
        <v>22</v>
      </c>
      <c r="C43" s="27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28" t="str">
        <f t="shared" si="8"/>
        <v>238829520 -&gt; 5990070#1 | t=500 | 24/05/2026 19:40</v>
      </c>
      <c r="N43" s="29" t="str">
        <f t="shared" si="9"/>
        <v>2 min 13 s</v>
      </c>
      <c r="O43" s="6">
        <f t="shared" si="10"/>
        <v>40.831200000000003</v>
      </c>
      <c r="P43" s="24">
        <f t="shared" si="11"/>
        <v>1.4971859999999999</v>
      </c>
      <c r="Q43" s="4" t="str">
        <f t="shared" si="12"/>
        <v/>
      </c>
      <c r="R43" s="29" t="str">
        <f t="shared" si="13"/>
        <v/>
      </c>
      <c r="S43" s="7" t="str">
        <f t="shared" si="14"/>
        <v/>
      </c>
      <c r="T43" s="29" t="str">
        <f t="shared" si="15"/>
        <v>Sin referencia</v>
      </c>
    </row>
    <row r="44" spans="1:23" x14ac:dyDescent="0.3">
      <c r="A44" s="27" t="s">
        <v>12</v>
      </c>
      <c r="B44" s="27" t="s">
        <v>22</v>
      </c>
      <c r="C44" s="27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28" t="str">
        <f t="shared" si="8"/>
        <v>238829520 -&gt; 5990070#1 | t=1000 | 24/05/2026 20:10</v>
      </c>
      <c r="N44" s="29" t="str">
        <f t="shared" si="9"/>
        <v>6 min 30 s</v>
      </c>
      <c r="O44" s="6">
        <f t="shared" si="10"/>
        <v>13.9392</v>
      </c>
      <c r="P44" s="24">
        <f t="shared" si="11"/>
        <v>1.5063330000000001</v>
      </c>
      <c r="Q44" s="4">
        <f t="shared" si="12"/>
        <v>4.5138888888888885E-3</v>
      </c>
      <c r="R44" s="29" t="str">
        <f t="shared" si="13"/>
        <v/>
      </c>
      <c r="S44" s="7" t="str">
        <f t="shared" si="14"/>
        <v/>
      </c>
      <c r="T44" s="29" t="str">
        <f t="shared" si="15"/>
        <v>Referencia</v>
      </c>
    </row>
    <row r="45" spans="1:23" x14ac:dyDescent="0.3">
      <c r="A45" s="27" t="s">
        <v>13</v>
      </c>
      <c r="B45" s="27" t="s">
        <v>22</v>
      </c>
      <c r="C45" s="27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28" t="str">
        <f t="shared" si="8"/>
        <v>238829520 -&gt; 5990070#1 | t=1000 | 24/05/2026 20:10</v>
      </c>
      <c r="N45" s="29" t="str">
        <f t="shared" si="9"/>
        <v>6 min 28 s</v>
      </c>
      <c r="O45" s="6">
        <f t="shared" si="10"/>
        <v>14.022</v>
      </c>
      <c r="P45" s="24">
        <f t="shared" si="11"/>
        <v>1.5072110000000001</v>
      </c>
      <c r="Q45" s="4">
        <f t="shared" si="12"/>
        <v>4.5138888888888885E-3</v>
      </c>
      <c r="R45" s="29" t="str">
        <f t="shared" si="13"/>
        <v>0 min 02 s</v>
      </c>
      <c r="S45" s="7">
        <f t="shared" si="14"/>
        <v>5.1282051282050978E-3</v>
      </c>
      <c r="T45" s="29" t="str">
        <f t="shared" si="15"/>
        <v>Mejora</v>
      </c>
    </row>
    <row r="46" spans="1:23" x14ac:dyDescent="0.3">
      <c r="A46" s="27" t="s">
        <v>12</v>
      </c>
      <c r="B46" s="27" t="s">
        <v>22</v>
      </c>
      <c r="C46" s="27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28" t="str">
        <f t="shared" si="8"/>
        <v>238829520 -&gt; 5990070#1 | t=2000 | 24/05/2026 20:10</v>
      </c>
      <c r="N46" s="29" t="str">
        <f t="shared" si="9"/>
        <v>3 min 52 s</v>
      </c>
      <c r="O46" s="6">
        <f t="shared" si="10"/>
        <v>23.4756</v>
      </c>
      <c r="P46" s="24">
        <f t="shared" si="11"/>
        <v>1.506254</v>
      </c>
      <c r="Q46" s="4">
        <f t="shared" si="12"/>
        <v>2.685185185185185E-3</v>
      </c>
      <c r="R46" s="29" t="str">
        <f t="shared" si="13"/>
        <v/>
      </c>
      <c r="S46" s="7" t="str">
        <f t="shared" si="14"/>
        <v/>
      </c>
      <c r="T46" s="29" t="str">
        <f t="shared" si="15"/>
        <v>Referencia</v>
      </c>
    </row>
    <row r="47" spans="1:23" x14ac:dyDescent="0.3">
      <c r="A47" s="27" t="s">
        <v>13</v>
      </c>
      <c r="B47" s="27" t="s">
        <v>22</v>
      </c>
      <c r="C47" s="27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28" t="str">
        <f t="shared" si="8"/>
        <v>238829520 -&gt; 5990070#1 | t=2000 | 24/05/2026 20:10</v>
      </c>
      <c r="N47" s="29" t="str">
        <f t="shared" si="9"/>
        <v>2 min 36 s</v>
      </c>
      <c r="O47" s="6">
        <f t="shared" si="10"/>
        <v>34.992000000000004</v>
      </c>
      <c r="P47" s="24">
        <f t="shared" si="11"/>
        <v>1.506634</v>
      </c>
      <c r="Q47" s="4">
        <f t="shared" si="12"/>
        <v>2.685185185185185E-3</v>
      </c>
      <c r="R47" s="29" t="str">
        <f t="shared" si="13"/>
        <v>1 min 16 s</v>
      </c>
      <c r="S47" s="7">
        <f t="shared" si="14"/>
        <v>0.32758620689655171</v>
      </c>
      <c r="T47" s="29" t="str">
        <f t="shared" si="15"/>
        <v>Mejora</v>
      </c>
    </row>
    <row r="48" spans="1:23" x14ac:dyDescent="0.3">
      <c r="A48" s="27" t="s">
        <v>12</v>
      </c>
      <c r="B48" s="27" t="s">
        <v>22</v>
      </c>
      <c r="C48" s="27" t="s">
        <v>24</v>
      </c>
      <c r="D48" s="9">
        <v>500</v>
      </c>
      <c r="E48" s="9">
        <v>700</v>
      </c>
      <c r="F48" s="9">
        <v>200</v>
      </c>
      <c r="G48" s="9">
        <v>0</v>
      </c>
      <c r="H48" s="9">
        <v>7.593</v>
      </c>
      <c r="I48" s="9">
        <v>1510.981</v>
      </c>
      <c r="J48" s="9">
        <v>0</v>
      </c>
      <c r="K48" s="9" t="b">
        <v>1</v>
      </c>
      <c r="L48" s="10">
        <v>46166.869444444441</v>
      </c>
      <c r="M48" s="28" t="str">
        <f t="shared" si="8"/>
        <v>238829520 -&gt; 5990070#1 | t=500 | 24/05/2026 20:52</v>
      </c>
      <c r="N48" s="29" t="str">
        <f t="shared" si="9"/>
        <v>3 min 20 s</v>
      </c>
      <c r="O48" s="6">
        <f t="shared" si="10"/>
        <v>27.334800000000001</v>
      </c>
      <c r="P48" s="24">
        <f t="shared" si="11"/>
        <v>1.5109809999999999</v>
      </c>
      <c r="Q48" s="4">
        <f t="shared" si="12"/>
        <v>2.3148148148148147E-3</v>
      </c>
      <c r="R48" s="29" t="str">
        <f t="shared" si="13"/>
        <v/>
      </c>
      <c r="S48" s="7" t="str">
        <f t="shared" si="14"/>
        <v/>
      </c>
      <c r="T48" s="29" t="str">
        <f t="shared" si="15"/>
        <v>Referencia</v>
      </c>
      <c r="V48" s="26" t="s">
        <v>44</v>
      </c>
      <c r="W48" s="26" t="s">
        <v>43</v>
      </c>
    </row>
    <row r="49" spans="1:23" x14ac:dyDescent="0.3">
      <c r="A49" s="27" t="s">
        <v>13</v>
      </c>
      <c r="B49" s="27" t="s">
        <v>22</v>
      </c>
      <c r="C49" s="27" t="s">
        <v>24</v>
      </c>
      <c r="D49" s="9">
        <v>500</v>
      </c>
      <c r="E49" s="9">
        <v>664</v>
      </c>
      <c r="F49" s="9">
        <v>164</v>
      </c>
      <c r="G49" s="9">
        <v>0</v>
      </c>
      <c r="H49" s="9">
        <v>9.2390000000000008</v>
      </c>
      <c r="I49" s="9">
        <v>1505.9690000000001</v>
      </c>
      <c r="J49" s="9">
        <v>5</v>
      </c>
      <c r="K49" s="9" t="b">
        <v>1</v>
      </c>
      <c r="L49" s="10">
        <v>46166.869444444441</v>
      </c>
      <c r="M49" s="28" t="str">
        <f t="shared" si="8"/>
        <v>238829520 -&gt; 5990070#1 | t=500 | 24/05/2026 20:52</v>
      </c>
      <c r="N49" s="29" t="str">
        <f t="shared" si="9"/>
        <v>2 min 44 s</v>
      </c>
      <c r="O49" s="6">
        <f t="shared" si="10"/>
        <v>33.260400000000004</v>
      </c>
      <c r="P49" s="24">
        <f t="shared" si="11"/>
        <v>1.5059690000000001</v>
      </c>
      <c r="Q49" s="4">
        <f t="shared" si="12"/>
        <v>2.3148148148148147E-3</v>
      </c>
      <c r="R49" s="29" t="str">
        <f t="shared" si="13"/>
        <v>0 min 36 s</v>
      </c>
      <c r="S49" s="7">
        <f t="shared" si="14"/>
        <v>0.17999999999999994</v>
      </c>
      <c r="T49" s="29" t="str">
        <f t="shared" si="15"/>
        <v>Mejora</v>
      </c>
      <c r="V49" s="26"/>
      <c r="W49" s="26"/>
    </row>
    <row r="50" spans="1:23" x14ac:dyDescent="0.3">
      <c r="A50" s="27" t="s">
        <v>12</v>
      </c>
      <c r="B50" s="27" t="s">
        <v>22</v>
      </c>
      <c r="C50" s="27" t="s">
        <v>24</v>
      </c>
      <c r="D50" s="9">
        <v>500</v>
      </c>
      <c r="E50" s="9">
        <v>699</v>
      </c>
      <c r="F50" s="9">
        <v>199</v>
      </c>
      <c r="G50" s="9">
        <v>0</v>
      </c>
      <c r="H50" s="9">
        <v>7.6120000000000001</v>
      </c>
      <c r="I50" s="9">
        <v>1507.2270000000001</v>
      </c>
      <c r="J50" s="9">
        <v>0</v>
      </c>
      <c r="K50" s="9" t="b">
        <v>1</v>
      </c>
      <c r="L50" s="10">
        <v>46166.920138888891</v>
      </c>
      <c r="M50" s="28" t="str">
        <f t="shared" si="8"/>
        <v>238829520 -&gt; 5990070#1 | t=500 | 24/05/2026 22:05</v>
      </c>
      <c r="N50" s="29" t="str">
        <f t="shared" si="9"/>
        <v>3 min 19 s</v>
      </c>
      <c r="O50" s="6">
        <f t="shared" si="10"/>
        <v>27.403200000000002</v>
      </c>
      <c r="P50" s="24">
        <f t="shared" si="11"/>
        <v>1.5072270000000001</v>
      </c>
      <c r="Q50" s="4">
        <f t="shared" si="12"/>
        <v>2.3032407407407407E-3</v>
      </c>
      <c r="R50" s="29" t="str">
        <f t="shared" si="13"/>
        <v/>
      </c>
      <c r="S50" s="7" t="str">
        <f t="shared" si="14"/>
        <v/>
      </c>
      <c r="T50" s="29" t="str">
        <f t="shared" si="15"/>
        <v>Referencia</v>
      </c>
      <c r="V50" s="26"/>
      <c r="W50" s="26"/>
    </row>
    <row r="51" spans="1:23" x14ac:dyDescent="0.3">
      <c r="A51" s="27" t="s">
        <v>13</v>
      </c>
      <c r="B51" s="27" t="s">
        <v>22</v>
      </c>
      <c r="C51" s="27" t="s">
        <v>24</v>
      </c>
      <c r="D51" s="9">
        <v>500</v>
      </c>
      <c r="E51" s="9">
        <v>631</v>
      </c>
      <c r="F51" s="9">
        <v>131</v>
      </c>
      <c r="G51" s="9">
        <v>0</v>
      </c>
      <c r="H51" s="9">
        <v>11.571</v>
      </c>
      <c r="I51" s="9">
        <v>1504.211</v>
      </c>
      <c r="J51" s="9">
        <v>1</v>
      </c>
      <c r="K51" s="9" t="b">
        <v>1</v>
      </c>
      <c r="L51" s="10">
        <v>46166.920138888891</v>
      </c>
      <c r="M51" s="28" t="str">
        <f t="shared" si="8"/>
        <v>238829520 -&gt; 5990070#1 | t=500 | 24/05/2026 22:05</v>
      </c>
      <c r="N51" s="29" t="str">
        <f t="shared" si="9"/>
        <v>2 min 11 s</v>
      </c>
      <c r="O51" s="6">
        <f t="shared" si="10"/>
        <v>41.6556</v>
      </c>
      <c r="P51" s="24">
        <f t="shared" si="11"/>
        <v>1.504211</v>
      </c>
      <c r="Q51" s="4">
        <f t="shared" si="12"/>
        <v>2.3032407407407407E-3</v>
      </c>
      <c r="R51" s="29" t="str">
        <f t="shared" si="13"/>
        <v>1 min 08 s</v>
      </c>
      <c r="S51" s="7">
        <f t="shared" si="14"/>
        <v>0.34170854271356788</v>
      </c>
      <c r="T51" s="29" t="str">
        <f t="shared" si="15"/>
        <v>Mejora</v>
      </c>
      <c r="V51" s="26"/>
      <c r="W51" s="26"/>
    </row>
    <row r="52" spans="1:23" x14ac:dyDescent="0.3">
      <c r="A52" s="27" t="s">
        <v>12</v>
      </c>
      <c r="B52" s="27" t="s">
        <v>22</v>
      </c>
      <c r="C52" s="27" t="s">
        <v>24</v>
      </c>
      <c r="D52" s="9">
        <v>500</v>
      </c>
      <c r="E52" s="9">
        <v>700</v>
      </c>
      <c r="F52" s="9">
        <v>200</v>
      </c>
      <c r="G52" s="9">
        <v>0</v>
      </c>
      <c r="H52" s="9">
        <v>7.5910000000000002</v>
      </c>
      <c r="I52" s="9">
        <v>1510.653</v>
      </c>
      <c r="J52" s="9">
        <v>0</v>
      </c>
      <c r="K52" s="9" t="b">
        <v>1</v>
      </c>
      <c r="L52" s="10">
        <v>46167.013888888891</v>
      </c>
      <c r="M52" s="28" t="str">
        <f t="shared" si="8"/>
        <v>238829520 -&gt; 5990070#1 | t=500 | 25/05/2026 00:20</v>
      </c>
      <c r="N52" s="29" t="str">
        <f t="shared" si="9"/>
        <v>3 min 20 s</v>
      </c>
      <c r="O52" s="6">
        <f t="shared" si="10"/>
        <v>27.3276</v>
      </c>
      <c r="P52" s="24">
        <f t="shared" si="11"/>
        <v>1.510653</v>
      </c>
      <c r="Q52" s="4">
        <f t="shared" si="12"/>
        <v>2.3148148148148147E-3</v>
      </c>
      <c r="R52" s="29" t="str">
        <f t="shared" si="13"/>
        <v/>
      </c>
      <c r="S52" s="7" t="str">
        <f t="shared" si="14"/>
        <v/>
      </c>
      <c r="T52" s="29" t="str">
        <f t="shared" si="15"/>
        <v>Referencia</v>
      </c>
      <c r="V52" s="26"/>
      <c r="W52" s="26"/>
    </row>
    <row r="53" spans="1:23" x14ac:dyDescent="0.3">
      <c r="A53" s="27" t="s">
        <v>13</v>
      </c>
      <c r="B53" s="27" t="s">
        <v>22</v>
      </c>
      <c r="C53" s="27" t="s">
        <v>24</v>
      </c>
      <c r="D53" s="9">
        <v>500</v>
      </c>
      <c r="E53" s="9">
        <v>634</v>
      </c>
      <c r="F53" s="9">
        <v>134</v>
      </c>
      <c r="G53" s="9">
        <v>0</v>
      </c>
      <c r="H53" s="9">
        <v>11.356999999999999</v>
      </c>
      <c r="I53" s="9">
        <v>1510.4549999999999</v>
      </c>
      <c r="J53" s="9">
        <v>1</v>
      </c>
      <c r="K53" s="9" t="b">
        <v>1</v>
      </c>
      <c r="L53" s="10">
        <v>46167.013888888891</v>
      </c>
      <c r="M53" s="28" t="str">
        <f t="shared" si="8"/>
        <v>238829520 -&gt; 5990070#1 | t=500 | 25/05/2026 00:20</v>
      </c>
      <c r="N53" s="29" t="str">
        <f t="shared" si="9"/>
        <v>2 min 14 s</v>
      </c>
      <c r="O53" s="6">
        <f t="shared" si="10"/>
        <v>40.885199999999998</v>
      </c>
      <c r="P53" s="24">
        <f t="shared" si="11"/>
        <v>1.5104549999999999</v>
      </c>
      <c r="Q53" s="4">
        <f t="shared" si="12"/>
        <v>2.3148148148148147E-3</v>
      </c>
      <c r="R53" s="29" t="str">
        <f t="shared" si="13"/>
        <v>1 min 06 s</v>
      </c>
      <c r="S53" s="7">
        <f t="shared" si="14"/>
        <v>0.33</v>
      </c>
      <c r="T53" s="29" t="str">
        <f t="shared" si="15"/>
        <v>Mejora</v>
      </c>
      <c r="V53" s="26"/>
      <c r="W53" s="26"/>
    </row>
    <row r="54" spans="1:23" x14ac:dyDescent="0.3">
      <c r="A54" s="27" t="s">
        <v>12</v>
      </c>
      <c r="B54" s="27" t="s">
        <v>22</v>
      </c>
      <c r="C54" s="27" t="s">
        <v>24</v>
      </c>
      <c r="D54" s="9">
        <v>500</v>
      </c>
      <c r="E54" s="9">
        <v>699</v>
      </c>
      <c r="F54" s="9">
        <v>199</v>
      </c>
      <c r="G54" s="9">
        <v>0</v>
      </c>
      <c r="H54" s="9">
        <v>7.601</v>
      </c>
      <c r="I54" s="9">
        <v>1505.0730000000001</v>
      </c>
      <c r="J54" s="9">
        <v>0</v>
      </c>
      <c r="K54" s="9" t="b">
        <v>1</v>
      </c>
      <c r="L54" s="10">
        <v>46167.020833333336</v>
      </c>
      <c r="M54" s="28" t="str">
        <f t="shared" si="8"/>
        <v>238829520 -&gt; 5990070#1 | t=500 | 25/05/2026 00:30</v>
      </c>
      <c r="N54" s="29" t="str">
        <f t="shared" si="9"/>
        <v>3 min 19 s</v>
      </c>
      <c r="O54" s="6">
        <f t="shared" si="10"/>
        <v>27.363600000000002</v>
      </c>
      <c r="P54" s="24">
        <f t="shared" si="11"/>
        <v>1.5050730000000001</v>
      </c>
      <c r="Q54" s="4">
        <f t="shared" si="12"/>
        <v>2.3032407407407407E-3</v>
      </c>
      <c r="R54" s="29" t="str">
        <f t="shared" si="13"/>
        <v/>
      </c>
      <c r="S54" s="7" t="str">
        <f t="shared" si="14"/>
        <v/>
      </c>
      <c r="T54" s="29" t="str">
        <f t="shared" si="15"/>
        <v>Referencia</v>
      </c>
      <c r="V54" s="26"/>
      <c r="W54" s="26"/>
    </row>
    <row r="55" spans="1:23" x14ac:dyDescent="0.3">
      <c r="A55" s="27" t="s">
        <v>13</v>
      </c>
      <c r="B55" s="27" t="s">
        <v>22</v>
      </c>
      <c r="C55" s="27" t="s">
        <v>24</v>
      </c>
      <c r="D55" s="9">
        <v>500</v>
      </c>
      <c r="E55" s="9">
        <v>634</v>
      </c>
      <c r="F55" s="9">
        <v>134</v>
      </c>
      <c r="G55" s="9">
        <v>0</v>
      </c>
      <c r="H55" s="9">
        <v>11.337</v>
      </c>
      <c r="I55" s="9">
        <v>1507.828</v>
      </c>
      <c r="J55" s="9">
        <v>1</v>
      </c>
      <c r="K55" s="9" t="b">
        <v>1</v>
      </c>
      <c r="L55" s="10">
        <v>46167.020833333336</v>
      </c>
      <c r="M55" s="28" t="str">
        <f t="shared" si="8"/>
        <v>238829520 -&gt; 5990070#1 | t=500 | 25/05/2026 00:30</v>
      </c>
      <c r="N55" s="29" t="str">
        <f t="shared" si="9"/>
        <v>2 min 14 s</v>
      </c>
      <c r="O55" s="6">
        <f t="shared" si="10"/>
        <v>40.813200000000002</v>
      </c>
      <c r="P55" s="24">
        <f t="shared" si="11"/>
        <v>1.5078279999999999</v>
      </c>
      <c r="Q55" s="4">
        <f t="shared" si="12"/>
        <v>2.3032407407407407E-3</v>
      </c>
      <c r="R55" s="29" t="str">
        <f t="shared" si="13"/>
        <v>1 min 05 s</v>
      </c>
      <c r="S55" s="7">
        <f t="shared" si="14"/>
        <v>0.32663316582914576</v>
      </c>
      <c r="T55" s="29" t="str">
        <f t="shared" si="15"/>
        <v>Mejora</v>
      </c>
      <c r="V55" s="26"/>
      <c r="W55" s="26"/>
    </row>
    <row r="56" spans="1:23" x14ac:dyDescent="0.3">
      <c r="A56" s="27" t="s">
        <v>12</v>
      </c>
      <c r="B56" s="27" t="s">
        <v>22</v>
      </c>
      <c r="C56" s="27" t="s">
        <v>24</v>
      </c>
      <c r="D56" s="9">
        <v>500</v>
      </c>
      <c r="E56" s="9">
        <v>699</v>
      </c>
      <c r="F56" s="9">
        <v>199</v>
      </c>
      <c r="G56" s="9">
        <v>0</v>
      </c>
      <c r="H56" s="9">
        <v>7.6070000000000002</v>
      </c>
      <c r="I56" s="9">
        <v>1506.2719999999999</v>
      </c>
      <c r="J56" s="9">
        <v>0</v>
      </c>
      <c r="K56" s="9" t="b">
        <v>1</v>
      </c>
      <c r="L56" s="10">
        <v>46167.03125</v>
      </c>
      <c r="M56" s="28" t="str">
        <f t="shared" si="8"/>
        <v>238829520 -&gt; 5990070#1 | t=500 | 25/05/2026 00:45</v>
      </c>
      <c r="N56" s="29" t="str">
        <f t="shared" si="9"/>
        <v>3 min 19 s</v>
      </c>
      <c r="O56" s="6">
        <f t="shared" si="10"/>
        <v>27.385200000000001</v>
      </c>
      <c r="P56" s="24">
        <f t="shared" si="11"/>
        <v>1.5062719999999998</v>
      </c>
      <c r="Q56" s="4">
        <f t="shared" si="12"/>
        <v>2.3032407407407407E-3</v>
      </c>
      <c r="R56" s="29" t="str">
        <f t="shared" si="13"/>
        <v/>
      </c>
      <c r="S56" s="7" t="str">
        <f t="shared" si="14"/>
        <v/>
      </c>
      <c r="T56" s="29" t="str">
        <f t="shared" si="15"/>
        <v>Referencia</v>
      </c>
      <c r="V56" s="26"/>
      <c r="W56" s="26"/>
    </row>
    <row r="57" spans="1:23" x14ac:dyDescent="0.3">
      <c r="A57" s="27" t="s">
        <v>13</v>
      </c>
      <c r="B57" s="27" t="s">
        <v>22</v>
      </c>
      <c r="C57" s="27" t="s">
        <v>24</v>
      </c>
      <c r="D57" s="9">
        <v>500</v>
      </c>
      <c r="E57" s="9">
        <v>635</v>
      </c>
      <c r="F57" s="9">
        <v>135</v>
      </c>
      <c r="G57" s="9">
        <v>0</v>
      </c>
      <c r="H57" s="9">
        <v>11.23</v>
      </c>
      <c r="I57" s="9">
        <v>1504.866</v>
      </c>
      <c r="J57" s="9">
        <v>1</v>
      </c>
      <c r="K57" s="9" t="b">
        <v>1</v>
      </c>
      <c r="L57" s="10">
        <v>46167.03125</v>
      </c>
      <c r="M57" s="28" t="str">
        <f t="shared" si="8"/>
        <v>238829520 -&gt; 5990070#1 | t=500 | 25/05/2026 00:45</v>
      </c>
      <c r="N57" s="29" t="str">
        <f t="shared" si="9"/>
        <v>2 min 15 s</v>
      </c>
      <c r="O57" s="6">
        <f t="shared" si="10"/>
        <v>40.428000000000004</v>
      </c>
      <c r="P57" s="24">
        <f t="shared" si="11"/>
        <v>1.504866</v>
      </c>
      <c r="Q57" s="4">
        <f t="shared" si="12"/>
        <v>2.3032407407407407E-3</v>
      </c>
      <c r="R57" s="29" t="str">
        <f t="shared" si="13"/>
        <v>1 min 04 s</v>
      </c>
      <c r="S57" s="7">
        <f t="shared" si="14"/>
        <v>0.32160804020100497</v>
      </c>
      <c r="T57" s="29" t="str">
        <f t="shared" si="15"/>
        <v>Mejora</v>
      </c>
      <c r="V57" s="26"/>
      <c r="W57" s="26"/>
    </row>
    <row r="58" spans="1:23" x14ac:dyDescent="0.3">
      <c r="A58" s="27" t="s">
        <v>12</v>
      </c>
      <c r="B58" s="27" t="s">
        <v>22</v>
      </c>
      <c r="C58" s="27" t="s">
        <v>24</v>
      </c>
      <c r="D58" s="9">
        <v>500</v>
      </c>
      <c r="E58" s="9">
        <v>699</v>
      </c>
      <c r="F58" s="9">
        <v>199</v>
      </c>
      <c r="G58" s="9">
        <v>0</v>
      </c>
      <c r="H58" s="9">
        <v>7.6150000000000002</v>
      </c>
      <c r="I58" s="9">
        <v>1507.691</v>
      </c>
      <c r="J58" s="9">
        <v>0</v>
      </c>
      <c r="K58" s="9" t="b">
        <v>1</v>
      </c>
      <c r="L58" s="10">
        <v>46167.038194444445</v>
      </c>
      <c r="M58" s="28" t="str">
        <f t="shared" si="8"/>
        <v>238829520 -&gt; 5990070#1 | t=500 | 25/05/2026 00:55</v>
      </c>
      <c r="N58" s="29" t="str">
        <f t="shared" si="9"/>
        <v>3 min 19 s</v>
      </c>
      <c r="O58" s="6">
        <f t="shared" si="10"/>
        <v>27.414000000000001</v>
      </c>
      <c r="P58" s="24">
        <f t="shared" si="11"/>
        <v>1.5076910000000001</v>
      </c>
      <c r="Q58" s="4">
        <f t="shared" si="12"/>
        <v>2.3032407407407407E-3</v>
      </c>
      <c r="R58" s="29" t="str">
        <f t="shared" si="13"/>
        <v/>
      </c>
      <c r="S58" s="7" t="str">
        <f t="shared" si="14"/>
        <v/>
      </c>
      <c r="T58" s="29" t="str">
        <f t="shared" si="15"/>
        <v>Referencia</v>
      </c>
      <c r="V58" s="26"/>
      <c r="W58" s="26"/>
    </row>
    <row r="59" spans="1:23" x14ac:dyDescent="0.3">
      <c r="A59" s="27" t="s">
        <v>13</v>
      </c>
      <c r="B59" s="27" t="s">
        <v>22</v>
      </c>
      <c r="C59" s="27" t="s">
        <v>24</v>
      </c>
      <c r="D59" s="9">
        <v>500</v>
      </c>
      <c r="E59" s="9">
        <v>627</v>
      </c>
      <c r="F59" s="9">
        <v>127</v>
      </c>
      <c r="G59" s="9">
        <v>0</v>
      </c>
      <c r="H59" s="9">
        <v>11.253</v>
      </c>
      <c r="I59" s="9">
        <v>1507.8910000000001</v>
      </c>
      <c r="J59" s="9">
        <v>2</v>
      </c>
      <c r="K59" s="9" t="b">
        <v>1</v>
      </c>
      <c r="L59" s="10">
        <v>46167.038194444445</v>
      </c>
      <c r="M59" s="28" t="str">
        <f t="shared" si="8"/>
        <v>238829520 -&gt; 5990070#1 | t=500 | 25/05/2026 00:55</v>
      </c>
      <c r="N59" s="29" t="str">
        <f t="shared" si="9"/>
        <v>2 min 07 s</v>
      </c>
      <c r="O59" s="6">
        <f t="shared" si="10"/>
        <v>40.510800000000003</v>
      </c>
      <c r="P59" s="24">
        <f t="shared" si="11"/>
        <v>1.5078910000000001</v>
      </c>
      <c r="Q59" s="4">
        <f t="shared" si="12"/>
        <v>2.3032407407407407E-3</v>
      </c>
      <c r="R59" s="29" t="str">
        <f t="shared" si="13"/>
        <v>1 min 12 s</v>
      </c>
      <c r="S59" s="7">
        <f t="shared" si="14"/>
        <v>0.36180904522613067</v>
      </c>
      <c r="T59" s="29" t="str">
        <f t="shared" si="15"/>
        <v>Mejora</v>
      </c>
      <c r="V59" s="26"/>
      <c r="W59" s="26"/>
    </row>
    <row r="60" spans="1:23" x14ac:dyDescent="0.3">
      <c r="A60" s="27" t="s">
        <v>12</v>
      </c>
      <c r="B60" s="27" t="s">
        <v>22</v>
      </c>
      <c r="C60" s="27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7.5830000000000002</v>
      </c>
      <c r="I60" s="9">
        <v>1509.0519999999999</v>
      </c>
      <c r="J60" s="9">
        <v>0</v>
      </c>
      <c r="K60" s="9" t="b">
        <v>1</v>
      </c>
      <c r="L60" s="10">
        <v>46167.048611111109</v>
      </c>
      <c r="M60" s="28" t="str">
        <f t="shared" si="8"/>
        <v>238829520 -&gt; 5990070#1 | t=500 | 25/05/2026 01:10</v>
      </c>
      <c r="N60" s="29" t="str">
        <f t="shared" si="9"/>
        <v>3 min 20 s</v>
      </c>
      <c r="O60" s="6">
        <f t="shared" si="10"/>
        <v>27.2988</v>
      </c>
      <c r="P60" s="24">
        <f t="shared" si="11"/>
        <v>1.5090519999999998</v>
      </c>
      <c r="Q60" s="4">
        <f t="shared" si="12"/>
        <v>2.3148148148148147E-3</v>
      </c>
      <c r="R60" s="29" t="str">
        <f t="shared" si="13"/>
        <v/>
      </c>
      <c r="S60" s="7" t="str">
        <f t="shared" si="14"/>
        <v/>
      </c>
      <c r="T60" s="29" t="str">
        <f t="shared" si="15"/>
        <v>Referencia</v>
      </c>
      <c r="V60" s="26"/>
      <c r="W60" s="26"/>
    </row>
    <row r="61" spans="1:23" x14ac:dyDescent="0.3">
      <c r="A61" s="27" t="s">
        <v>13</v>
      </c>
      <c r="B61" s="27" t="s">
        <v>22</v>
      </c>
      <c r="C61" s="27" t="s">
        <v>24</v>
      </c>
      <c r="D61" s="9">
        <v>500</v>
      </c>
      <c r="E61" s="9">
        <v>623</v>
      </c>
      <c r="F61" s="9">
        <v>123</v>
      </c>
      <c r="G61" s="9">
        <v>0</v>
      </c>
      <c r="H61" s="9">
        <v>12.351000000000001</v>
      </c>
      <c r="I61" s="9">
        <v>1506.7660000000001</v>
      </c>
      <c r="J61" s="9">
        <v>3</v>
      </c>
      <c r="K61" s="9" t="b">
        <v>1</v>
      </c>
      <c r="L61" s="10">
        <v>46167.048611111109</v>
      </c>
      <c r="M61" s="28" t="str">
        <f t="shared" si="8"/>
        <v>238829520 -&gt; 5990070#1 | t=500 | 25/05/2026 01:10</v>
      </c>
      <c r="N61" s="29" t="str">
        <f t="shared" si="9"/>
        <v>2 min 03 s</v>
      </c>
      <c r="O61" s="6">
        <f t="shared" si="10"/>
        <v>44.463600000000007</v>
      </c>
      <c r="P61" s="24">
        <f t="shared" si="11"/>
        <v>1.506766</v>
      </c>
      <c r="Q61" s="4">
        <f t="shared" si="12"/>
        <v>2.3148148148148147E-3</v>
      </c>
      <c r="R61" s="29" t="str">
        <f t="shared" si="13"/>
        <v>1 min 17 s</v>
      </c>
      <c r="S61" s="7">
        <f t="shared" si="14"/>
        <v>0.38499999999999995</v>
      </c>
      <c r="T61" s="29" t="str">
        <f t="shared" si="15"/>
        <v>Mejora</v>
      </c>
      <c r="V61" s="26"/>
      <c r="W61" s="26"/>
    </row>
    <row r="62" spans="1:23" x14ac:dyDescent="0.3">
      <c r="A62" s="27" t="s">
        <v>12</v>
      </c>
      <c r="B62" s="27" t="s">
        <v>22</v>
      </c>
      <c r="C62" s="27" t="s">
        <v>24</v>
      </c>
      <c r="D62" s="9">
        <v>500</v>
      </c>
      <c r="E62" s="9">
        <v>701</v>
      </c>
      <c r="F62" s="9">
        <v>201</v>
      </c>
      <c r="G62" s="9">
        <v>0</v>
      </c>
      <c r="H62" s="9">
        <v>7.5369999999999999</v>
      </c>
      <c r="I62" s="9">
        <v>1507.415</v>
      </c>
      <c r="J62" s="9">
        <v>0</v>
      </c>
      <c r="K62" s="9" t="b">
        <v>1</v>
      </c>
      <c r="L62" s="10">
        <v>46167.0625</v>
      </c>
      <c r="M62" s="28" t="str">
        <f t="shared" si="8"/>
        <v>238829520 -&gt; 5990070#1 | t=500 | 25/05/2026 01:30</v>
      </c>
      <c r="N62" s="29" t="str">
        <f t="shared" si="9"/>
        <v>3 min 21 s</v>
      </c>
      <c r="O62" s="6">
        <f t="shared" si="10"/>
        <v>27.133199999999999</v>
      </c>
      <c r="P62" s="24">
        <f t="shared" si="11"/>
        <v>1.5074149999999999</v>
      </c>
      <c r="Q62" s="4">
        <f t="shared" si="12"/>
        <v>2.3263888888888887E-3</v>
      </c>
      <c r="R62" s="29" t="str">
        <f t="shared" si="13"/>
        <v/>
      </c>
      <c r="S62" s="7" t="str">
        <f t="shared" si="14"/>
        <v/>
      </c>
      <c r="T62" s="29" t="str">
        <f t="shared" si="15"/>
        <v>Referencia</v>
      </c>
      <c r="V62" s="26"/>
      <c r="W62" s="26"/>
    </row>
    <row r="63" spans="1:23" x14ac:dyDescent="0.3">
      <c r="A63" s="27" t="s">
        <v>13</v>
      </c>
      <c r="B63" s="27" t="s">
        <v>22</v>
      </c>
      <c r="C63" s="27" t="s">
        <v>24</v>
      </c>
      <c r="D63" s="9">
        <v>500</v>
      </c>
      <c r="E63" s="9">
        <v>634</v>
      </c>
      <c r="F63" s="9">
        <v>134</v>
      </c>
      <c r="G63" s="9">
        <v>0</v>
      </c>
      <c r="H63" s="9">
        <v>11.311</v>
      </c>
      <c r="I63" s="9">
        <v>1504.306</v>
      </c>
      <c r="J63" s="9">
        <v>1</v>
      </c>
      <c r="K63" s="9" t="b">
        <v>1</v>
      </c>
      <c r="L63" s="10">
        <v>46167.0625</v>
      </c>
      <c r="M63" s="28" t="str">
        <f t="shared" si="8"/>
        <v>238829520 -&gt; 5990070#1 | t=500 | 25/05/2026 01:30</v>
      </c>
      <c r="N63" s="29" t="str">
        <f t="shared" si="9"/>
        <v>2 min 14 s</v>
      </c>
      <c r="O63" s="6">
        <f t="shared" si="10"/>
        <v>40.7196</v>
      </c>
      <c r="P63" s="24">
        <f t="shared" si="11"/>
        <v>1.5043060000000001</v>
      </c>
      <c r="Q63" s="4">
        <f t="shared" si="12"/>
        <v>2.3263888888888887E-3</v>
      </c>
      <c r="R63" s="29" t="str">
        <f t="shared" si="13"/>
        <v>1 min 07 s</v>
      </c>
      <c r="S63" s="7">
        <f t="shared" si="14"/>
        <v>0.33333333333333331</v>
      </c>
      <c r="T63" s="29" t="str">
        <f t="shared" si="15"/>
        <v>Mejora</v>
      </c>
      <c r="V63" s="26"/>
      <c r="W63" s="26"/>
    </row>
    <row r="64" spans="1:23" x14ac:dyDescent="0.3">
      <c r="A64" s="27" t="s">
        <v>12</v>
      </c>
      <c r="B64" s="27" t="s">
        <v>22</v>
      </c>
      <c r="C64" s="27" t="s">
        <v>24</v>
      </c>
      <c r="D64" s="9">
        <v>500</v>
      </c>
      <c r="E64" s="9">
        <v>704</v>
      </c>
      <c r="F64" s="9">
        <v>204</v>
      </c>
      <c r="G64" s="9">
        <v>0</v>
      </c>
      <c r="H64" s="9">
        <v>7.415</v>
      </c>
      <c r="I64" s="9">
        <v>1505.2249999999999</v>
      </c>
      <c r="J64" s="9">
        <v>0</v>
      </c>
      <c r="K64" s="9" t="b">
        <v>1</v>
      </c>
      <c r="L64" s="10">
        <v>46167.364583333336</v>
      </c>
      <c r="M64" s="28" t="str">
        <f t="shared" si="8"/>
        <v>238829520 -&gt; 5990070#1 | t=500 | 25/05/2026 08:45</v>
      </c>
      <c r="N64" s="29" t="str">
        <f t="shared" si="9"/>
        <v>3 min 24 s</v>
      </c>
      <c r="O64" s="6">
        <f t="shared" si="10"/>
        <v>26.693999999999999</v>
      </c>
      <c r="P64" s="24">
        <f t="shared" si="11"/>
        <v>1.5052249999999998</v>
      </c>
      <c r="Q64" s="4">
        <f t="shared" si="12"/>
        <v>2.3611111111111111E-3</v>
      </c>
      <c r="R64" s="29" t="str">
        <f t="shared" si="13"/>
        <v/>
      </c>
      <c r="S64" s="7" t="str">
        <f t="shared" si="14"/>
        <v/>
      </c>
      <c r="T64" s="29" t="str">
        <f t="shared" si="15"/>
        <v>Referencia</v>
      </c>
      <c r="V64" s="26"/>
      <c r="W64" s="26"/>
    </row>
    <row r="65" spans="1:23" x14ac:dyDescent="0.3">
      <c r="A65" s="27" t="s">
        <v>13</v>
      </c>
      <c r="B65" s="27" t="s">
        <v>22</v>
      </c>
      <c r="C65" s="27" t="s">
        <v>24</v>
      </c>
      <c r="D65" s="9">
        <v>500</v>
      </c>
      <c r="E65" s="9">
        <v>633</v>
      </c>
      <c r="F65" s="9">
        <v>133</v>
      </c>
      <c r="G65" s="9">
        <v>0</v>
      </c>
      <c r="H65" s="9">
        <v>11.412000000000001</v>
      </c>
      <c r="I65" s="9">
        <v>1506.3879999999999</v>
      </c>
      <c r="J65" s="9">
        <v>1</v>
      </c>
      <c r="K65" s="9" t="b">
        <v>1</v>
      </c>
      <c r="L65" s="10">
        <v>46167.364583333336</v>
      </c>
      <c r="M65" s="28" t="str">
        <f t="shared" si="8"/>
        <v>238829520 -&gt; 5990070#1 | t=500 | 25/05/2026 08:45</v>
      </c>
      <c r="N65" s="29" t="str">
        <f t="shared" si="9"/>
        <v>2 min 13 s</v>
      </c>
      <c r="O65" s="6">
        <f t="shared" si="10"/>
        <v>41.083200000000005</v>
      </c>
      <c r="P65" s="24">
        <f t="shared" si="11"/>
        <v>1.5063879999999998</v>
      </c>
      <c r="Q65" s="4">
        <f t="shared" si="12"/>
        <v>2.3611111111111111E-3</v>
      </c>
      <c r="R65" s="29" t="str">
        <f t="shared" si="13"/>
        <v>1 min 11 s</v>
      </c>
      <c r="S65" s="7">
        <f t="shared" si="14"/>
        <v>0.34803921568627449</v>
      </c>
      <c r="T65" s="29" t="str">
        <f t="shared" si="15"/>
        <v>Mejora</v>
      </c>
      <c r="V65" s="26"/>
      <c r="W65" s="26"/>
    </row>
    <row r="66" spans="1:23" x14ac:dyDescent="0.3">
      <c r="A66" s="27" t="s">
        <v>12</v>
      </c>
      <c r="B66" s="27" t="s">
        <v>22</v>
      </c>
      <c r="C66" s="27" t="s">
        <v>24</v>
      </c>
      <c r="D66" s="9">
        <v>500</v>
      </c>
      <c r="E66" s="9">
        <v>704</v>
      </c>
      <c r="F66" s="9">
        <v>204</v>
      </c>
      <c r="G66" s="9">
        <v>0</v>
      </c>
      <c r="H66" s="9">
        <v>7.415</v>
      </c>
      <c r="I66" s="9">
        <v>1505.2819999999999</v>
      </c>
      <c r="J66" s="9">
        <v>0</v>
      </c>
      <c r="K66" s="9" t="b">
        <v>1</v>
      </c>
      <c r="L66" s="10">
        <v>46167.46875</v>
      </c>
      <c r="M66" s="28" t="str">
        <f t="shared" ref="M66:M97" si="16">B66&amp;" -&gt; "&amp;C66&amp;" | t="&amp;D66&amp;" | "&amp;TEXT(L66,"dd/mm/aaaa hh:mm")</f>
        <v>238829520 -&gt; 5990070#1 | t=500 | 25/05/2026 11:15</v>
      </c>
      <c r="N66" s="29" t="str">
        <f t="shared" ref="N66:N99" si="17">IF(F66="","",INT(F66/60)&amp;" min "&amp;TEXT(MOD(F66,60),"00")&amp;" s")</f>
        <v>3 min 24 s</v>
      </c>
      <c r="O66" s="6">
        <f t="shared" ref="O66:O99" si="18">IF(H66="","",H66*3.6)</f>
        <v>26.693999999999999</v>
      </c>
      <c r="P66" s="24">
        <f t="shared" ref="P66:P99" si="19">IF(I66="","",I66/1000)</f>
        <v>1.505282</v>
      </c>
      <c r="Q66" s="4">
        <f t="shared" ref="Q66:Q99" si="20">IFERROR(AVERAGEIFS($F:$F,$A:$A,"base",$B:$B,B66,$C:$C,C66,$D:$D,D66,$K:$K,TRUE,$L:$L,L66)/86400,"")</f>
        <v>2.3611111111111111E-3</v>
      </c>
      <c r="R66" s="29" t="str">
        <f t="shared" ref="R66:R97" si="21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99" si="22">IF(OR(A66&lt;&gt;"inteligente",K66&lt;&gt;TRUE,Q66=""),"",(Q66-F66/86400)/Q66)</f>
        <v/>
      </c>
      <c r="T66" s="29" t="str">
        <f t="shared" ref="T66:T97" si="23">IF(K66&lt;&gt;TRUE,"No llega",IF(A66="base","Referencia",IF(S66="","Sin referencia",IF(S66&gt;0,"Mejora",IF(S66&lt;0,"Empeora","Igual")))))</f>
        <v>Referencia</v>
      </c>
      <c r="V66" s="26"/>
      <c r="W66" s="26"/>
    </row>
    <row r="67" spans="1:23" x14ac:dyDescent="0.3">
      <c r="A67" s="27" t="s">
        <v>13</v>
      </c>
      <c r="B67" s="27" t="s">
        <v>22</v>
      </c>
      <c r="C67" s="27" t="s">
        <v>24</v>
      </c>
      <c r="D67" s="9">
        <v>500</v>
      </c>
      <c r="E67" s="9">
        <v>668</v>
      </c>
      <c r="F67" s="9">
        <v>168</v>
      </c>
      <c r="G67" s="9">
        <v>0</v>
      </c>
      <c r="H67" s="9">
        <v>9.02</v>
      </c>
      <c r="I67" s="9">
        <v>1506.279</v>
      </c>
      <c r="J67" s="9">
        <v>1</v>
      </c>
      <c r="K67" s="9" t="b">
        <v>1</v>
      </c>
      <c r="L67" s="10">
        <v>46167.46875</v>
      </c>
      <c r="M67" s="28" t="str">
        <f t="shared" si="16"/>
        <v>238829520 -&gt; 5990070#1 | t=500 | 25/05/2026 11:15</v>
      </c>
      <c r="N67" s="29" t="str">
        <f t="shared" si="17"/>
        <v>2 min 48 s</v>
      </c>
      <c r="O67" s="6">
        <f t="shared" si="18"/>
        <v>32.472000000000001</v>
      </c>
      <c r="P67" s="24">
        <f t="shared" si="19"/>
        <v>1.5062789999999999</v>
      </c>
      <c r="Q67" s="4">
        <f t="shared" si="20"/>
        <v>2.3611111111111111E-3</v>
      </c>
      <c r="R67" s="29" t="str">
        <f t="shared" si="21"/>
        <v>0 min 36 s</v>
      </c>
      <c r="S67" s="7">
        <f t="shared" si="22"/>
        <v>0.17647058823529416</v>
      </c>
      <c r="T67" s="29" t="str">
        <f t="shared" si="23"/>
        <v>Mejora</v>
      </c>
      <c r="V67" s="26"/>
      <c r="W67" s="26"/>
    </row>
    <row r="68" spans="1:23" x14ac:dyDescent="0.3">
      <c r="A68" s="27" t="s">
        <v>12</v>
      </c>
      <c r="B68" s="27" t="s">
        <v>22</v>
      </c>
      <c r="C68" s="27" t="s">
        <v>24</v>
      </c>
      <c r="D68" s="9">
        <v>500</v>
      </c>
      <c r="E68" s="9">
        <v>701</v>
      </c>
      <c r="F68" s="9">
        <v>201</v>
      </c>
      <c r="G68" s="9">
        <v>0</v>
      </c>
      <c r="H68" s="9">
        <v>7.5449999999999999</v>
      </c>
      <c r="I68" s="9">
        <v>1509.0619999999999</v>
      </c>
      <c r="J68" s="9">
        <v>0</v>
      </c>
      <c r="K68" s="9" t="b">
        <v>1</v>
      </c>
      <c r="L68" s="10">
        <v>46167.506944444445</v>
      </c>
      <c r="M68" s="28" t="str">
        <f t="shared" si="16"/>
        <v>238829520 -&gt; 5990070#1 | t=500 | 25/05/2026 12:10</v>
      </c>
      <c r="N68" s="29" t="str">
        <f t="shared" si="17"/>
        <v>3 min 21 s</v>
      </c>
      <c r="O68" s="6">
        <f t="shared" si="18"/>
        <v>27.161999999999999</v>
      </c>
      <c r="P68" s="24">
        <f t="shared" si="19"/>
        <v>1.5090619999999999</v>
      </c>
      <c r="Q68" s="4">
        <f t="shared" si="20"/>
        <v>2.3263888888888887E-3</v>
      </c>
      <c r="R68" s="29" t="str">
        <f t="shared" si="21"/>
        <v/>
      </c>
      <c r="S68" s="7" t="str">
        <f t="shared" si="22"/>
        <v/>
      </c>
      <c r="T68" s="29" t="str">
        <f t="shared" si="23"/>
        <v>Referencia</v>
      </c>
      <c r="V68" s="26"/>
      <c r="W68" s="26"/>
    </row>
    <row r="69" spans="1:23" x14ac:dyDescent="0.3">
      <c r="A69" s="27" t="s">
        <v>13</v>
      </c>
      <c r="B69" s="27" t="s">
        <v>22</v>
      </c>
      <c r="C69" s="27" t="s">
        <v>24</v>
      </c>
      <c r="D69" s="9">
        <v>500</v>
      </c>
      <c r="E69" s="9">
        <v>629</v>
      </c>
      <c r="F69" s="9">
        <v>129</v>
      </c>
      <c r="G69" s="9">
        <v>0</v>
      </c>
      <c r="H69" s="9">
        <v>11.784000000000001</v>
      </c>
      <c r="I69" s="9">
        <v>1508.3810000000001</v>
      </c>
      <c r="J69" s="9">
        <v>3</v>
      </c>
      <c r="K69" s="9" t="b">
        <v>1</v>
      </c>
      <c r="L69" s="10">
        <v>46167.506944444445</v>
      </c>
      <c r="M69" s="28" t="str">
        <f t="shared" si="16"/>
        <v>238829520 -&gt; 5990070#1 | t=500 | 25/05/2026 12:10</v>
      </c>
      <c r="N69" s="29" t="str">
        <f t="shared" si="17"/>
        <v>2 min 09 s</v>
      </c>
      <c r="O69" s="6">
        <f t="shared" si="18"/>
        <v>42.422400000000003</v>
      </c>
      <c r="P69" s="24">
        <f t="shared" si="19"/>
        <v>1.5083810000000002</v>
      </c>
      <c r="Q69" s="4">
        <f t="shared" si="20"/>
        <v>2.3263888888888887E-3</v>
      </c>
      <c r="R69" s="29" t="str">
        <f t="shared" si="21"/>
        <v>1 min 12 s</v>
      </c>
      <c r="S69" s="7">
        <f t="shared" si="22"/>
        <v>0.35820895522388052</v>
      </c>
      <c r="T69" s="29" t="str">
        <f t="shared" si="23"/>
        <v>Mejora</v>
      </c>
      <c r="V69" s="26"/>
      <c r="W69" s="26"/>
    </row>
    <row r="70" spans="1:23" x14ac:dyDescent="0.3">
      <c r="A70" s="27" t="s">
        <v>12</v>
      </c>
      <c r="B70" s="27" t="s">
        <v>22</v>
      </c>
      <c r="C70" s="27" t="s">
        <v>24</v>
      </c>
      <c r="D70" s="9">
        <v>500</v>
      </c>
      <c r="E70" s="9">
        <v>701</v>
      </c>
      <c r="F70" s="9">
        <v>201</v>
      </c>
      <c r="G70" s="9">
        <v>0</v>
      </c>
      <c r="H70" s="9">
        <v>7.55</v>
      </c>
      <c r="I70" s="9">
        <v>1510.069</v>
      </c>
      <c r="J70" s="9">
        <v>0</v>
      </c>
      <c r="K70" s="9" t="b">
        <v>1</v>
      </c>
      <c r="L70" s="10">
        <v>46167.541666666664</v>
      </c>
      <c r="M70" s="28" t="str">
        <f t="shared" si="16"/>
        <v>238829520 -&gt; 5990070#1 | t=500 | 25/05/2026 13:00</v>
      </c>
      <c r="N70" s="29" t="str">
        <f t="shared" si="17"/>
        <v>3 min 21 s</v>
      </c>
      <c r="O70" s="6">
        <f t="shared" si="18"/>
        <v>27.18</v>
      </c>
      <c r="P70" s="24">
        <f t="shared" si="19"/>
        <v>1.5100689999999999</v>
      </c>
      <c r="Q70" s="4">
        <f t="shared" si="20"/>
        <v>2.3263888888888887E-3</v>
      </c>
      <c r="R70" s="29" t="str">
        <f t="shared" si="21"/>
        <v/>
      </c>
      <c r="S70" s="7" t="str">
        <f t="shared" si="22"/>
        <v/>
      </c>
      <c r="T70" s="29" t="str">
        <f t="shared" si="23"/>
        <v>Referencia</v>
      </c>
      <c r="V70" s="26"/>
      <c r="W70" s="26"/>
    </row>
    <row r="71" spans="1:23" x14ac:dyDescent="0.3">
      <c r="A71" s="27" t="s">
        <v>13</v>
      </c>
      <c r="B71" s="27" t="s">
        <v>22</v>
      </c>
      <c r="C71" s="27" t="s">
        <v>24</v>
      </c>
      <c r="D71" s="9">
        <v>500</v>
      </c>
      <c r="E71" s="9">
        <v>645</v>
      </c>
      <c r="F71" s="9">
        <v>145</v>
      </c>
      <c r="G71" s="9">
        <v>0</v>
      </c>
      <c r="H71" s="9">
        <v>10.467000000000001</v>
      </c>
      <c r="I71" s="9">
        <v>1507.269</v>
      </c>
      <c r="J71" s="9">
        <v>2</v>
      </c>
      <c r="K71" s="9" t="b">
        <v>1</v>
      </c>
      <c r="L71" s="10">
        <v>46167.541666666664</v>
      </c>
      <c r="M71" s="28" t="str">
        <f t="shared" si="16"/>
        <v>238829520 -&gt; 5990070#1 | t=500 | 25/05/2026 13:00</v>
      </c>
      <c r="N71" s="29" t="str">
        <f t="shared" si="17"/>
        <v>2 min 25 s</v>
      </c>
      <c r="O71" s="6">
        <f t="shared" si="18"/>
        <v>37.681200000000004</v>
      </c>
      <c r="P71" s="24">
        <f t="shared" si="19"/>
        <v>1.507269</v>
      </c>
      <c r="Q71" s="4">
        <f t="shared" si="20"/>
        <v>2.3263888888888887E-3</v>
      </c>
      <c r="R71" s="29" t="str">
        <f t="shared" si="21"/>
        <v>0 min 56 s</v>
      </c>
      <c r="S71" s="7">
        <f t="shared" si="22"/>
        <v>0.27860696517412925</v>
      </c>
      <c r="T71" s="29" t="str">
        <f t="shared" si="23"/>
        <v>Mejora</v>
      </c>
      <c r="V71" s="26"/>
      <c r="W71" s="26"/>
    </row>
    <row r="72" spans="1:23" x14ac:dyDescent="0.3">
      <c r="A72" s="27" t="s">
        <v>12</v>
      </c>
      <c r="B72" s="27" t="s">
        <v>22</v>
      </c>
      <c r="C72" s="27" t="s">
        <v>24</v>
      </c>
      <c r="D72" s="9">
        <v>500</v>
      </c>
      <c r="E72" s="9">
        <v>705</v>
      </c>
      <c r="F72" s="9">
        <v>205</v>
      </c>
      <c r="G72" s="9">
        <v>0</v>
      </c>
      <c r="H72" s="9">
        <v>7.375</v>
      </c>
      <c r="I72" s="9">
        <v>1504.5219999999999</v>
      </c>
      <c r="J72" s="9">
        <v>0</v>
      </c>
      <c r="K72" s="9" t="b">
        <v>1</v>
      </c>
      <c r="L72" s="10">
        <v>46167.559027777781</v>
      </c>
      <c r="M72" s="28" t="str">
        <f t="shared" si="16"/>
        <v>238829520 -&gt; 5990070#1 | t=500 | 25/05/2026 13:25</v>
      </c>
      <c r="N72" s="29" t="str">
        <f t="shared" si="17"/>
        <v>3 min 25 s</v>
      </c>
      <c r="O72" s="6">
        <f t="shared" si="18"/>
        <v>26.55</v>
      </c>
      <c r="P72" s="24">
        <f t="shared" si="19"/>
        <v>1.5045219999999999</v>
      </c>
      <c r="Q72" s="4">
        <f t="shared" si="20"/>
        <v>2.3726851851851851E-3</v>
      </c>
      <c r="R72" s="29" t="str">
        <f t="shared" si="21"/>
        <v/>
      </c>
      <c r="S72" s="7" t="str">
        <f t="shared" si="22"/>
        <v/>
      </c>
      <c r="T72" s="29" t="str">
        <f t="shared" si="23"/>
        <v>Referencia</v>
      </c>
      <c r="V72" s="26"/>
      <c r="W72" s="26"/>
    </row>
    <row r="73" spans="1:23" x14ac:dyDescent="0.3">
      <c r="A73" s="27" t="s">
        <v>13</v>
      </c>
      <c r="B73" s="27" t="s">
        <v>22</v>
      </c>
      <c r="C73" s="27" t="s">
        <v>24</v>
      </c>
      <c r="D73" s="9">
        <v>500</v>
      </c>
      <c r="E73" s="9">
        <v>632</v>
      </c>
      <c r="F73" s="9">
        <v>132</v>
      </c>
      <c r="G73" s="9">
        <v>0</v>
      </c>
      <c r="H73" s="9">
        <v>11.454000000000001</v>
      </c>
      <c r="I73" s="9">
        <v>1500.5239999999999</v>
      </c>
      <c r="J73" s="9">
        <v>1</v>
      </c>
      <c r="K73" s="9" t="b">
        <v>1</v>
      </c>
      <c r="L73" s="10">
        <v>46167.559027777781</v>
      </c>
      <c r="M73" s="28" t="str">
        <f t="shared" si="16"/>
        <v>238829520 -&gt; 5990070#1 | t=500 | 25/05/2026 13:25</v>
      </c>
      <c r="N73" s="29" t="str">
        <f t="shared" si="17"/>
        <v>2 min 12 s</v>
      </c>
      <c r="O73" s="6">
        <f t="shared" si="18"/>
        <v>41.234400000000001</v>
      </c>
      <c r="P73" s="24">
        <f t="shared" si="19"/>
        <v>1.500524</v>
      </c>
      <c r="Q73" s="4">
        <f t="shared" si="20"/>
        <v>2.3726851851851851E-3</v>
      </c>
      <c r="R73" s="29" t="str">
        <f t="shared" si="21"/>
        <v>1 min 13 s</v>
      </c>
      <c r="S73" s="7">
        <f t="shared" si="22"/>
        <v>0.35609756097560968</v>
      </c>
      <c r="T73" s="29" t="str">
        <f t="shared" si="23"/>
        <v>Mejora</v>
      </c>
      <c r="V73" s="26"/>
      <c r="W73" s="26"/>
    </row>
    <row r="74" spans="1:23" x14ac:dyDescent="0.3">
      <c r="A74" s="27" t="s">
        <v>12</v>
      </c>
      <c r="B74" s="27" t="s">
        <v>22</v>
      </c>
      <c r="C74" s="27" t="s">
        <v>24</v>
      </c>
      <c r="D74" s="9">
        <v>500</v>
      </c>
      <c r="E74" s="9">
        <v>700</v>
      </c>
      <c r="F74" s="9">
        <v>200</v>
      </c>
      <c r="G74" s="9">
        <v>0</v>
      </c>
      <c r="H74" s="9">
        <v>7.5709999999999997</v>
      </c>
      <c r="I74" s="9">
        <v>1506.703</v>
      </c>
      <c r="J74" s="9">
        <v>0</v>
      </c>
      <c r="K74" s="9" t="b">
        <v>1</v>
      </c>
      <c r="L74" s="10">
        <v>46167.583333333336</v>
      </c>
      <c r="M74" s="28" t="str">
        <f t="shared" si="16"/>
        <v>238829520 -&gt; 5990070#1 | t=500 | 25/05/2026 14:00</v>
      </c>
      <c r="N74" s="29" t="str">
        <f t="shared" si="17"/>
        <v>3 min 20 s</v>
      </c>
      <c r="O74" s="6">
        <f t="shared" si="18"/>
        <v>27.255600000000001</v>
      </c>
      <c r="P74" s="24">
        <f t="shared" si="19"/>
        <v>1.5067029999999999</v>
      </c>
      <c r="Q74" s="4">
        <f t="shared" si="20"/>
        <v>2.3148148148148147E-3</v>
      </c>
      <c r="R74" s="29" t="str">
        <f t="shared" si="21"/>
        <v/>
      </c>
      <c r="S74" s="7" t="str">
        <f t="shared" si="22"/>
        <v/>
      </c>
      <c r="T74" s="29" t="str">
        <f t="shared" si="23"/>
        <v>Referencia</v>
      </c>
      <c r="V74" s="26"/>
      <c r="W74" s="26"/>
    </row>
    <row r="75" spans="1:23" x14ac:dyDescent="0.3">
      <c r="A75" s="27" t="s">
        <v>13</v>
      </c>
      <c r="B75" s="27" t="s">
        <v>22</v>
      </c>
      <c r="C75" s="27" t="s">
        <v>24</v>
      </c>
      <c r="D75" s="9">
        <v>500</v>
      </c>
      <c r="E75" s="9">
        <v>641</v>
      </c>
      <c r="F75" s="9">
        <v>141</v>
      </c>
      <c r="G75" s="9">
        <v>0</v>
      </c>
      <c r="H75" s="9">
        <v>10.694000000000001</v>
      </c>
      <c r="I75" s="9">
        <v>1497.2080000000001</v>
      </c>
      <c r="J75" s="9">
        <v>1</v>
      </c>
      <c r="K75" s="9" t="b">
        <v>1</v>
      </c>
      <c r="L75" s="10">
        <v>46167.583333333336</v>
      </c>
      <c r="M75" s="28" t="str">
        <f t="shared" si="16"/>
        <v>238829520 -&gt; 5990070#1 | t=500 | 25/05/2026 14:00</v>
      </c>
      <c r="N75" s="29" t="str">
        <f t="shared" si="17"/>
        <v>2 min 21 s</v>
      </c>
      <c r="O75" s="6">
        <f t="shared" si="18"/>
        <v>38.498400000000004</v>
      </c>
      <c r="P75" s="24">
        <f t="shared" si="19"/>
        <v>1.4972080000000001</v>
      </c>
      <c r="Q75" s="4">
        <f t="shared" si="20"/>
        <v>2.3148148148148147E-3</v>
      </c>
      <c r="R75" s="29" t="str">
        <f t="shared" si="21"/>
        <v>0 min 59 s</v>
      </c>
      <c r="S75" s="7">
        <f t="shared" si="22"/>
        <v>0.29499999999999993</v>
      </c>
      <c r="T75" s="29" t="str">
        <f t="shared" si="23"/>
        <v>Mejora</v>
      </c>
      <c r="V75" s="26"/>
      <c r="W75" s="26"/>
    </row>
    <row r="76" spans="1:23" x14ac:dyDescent="0.3">
      <c r="A76" s="27" t="s">
        <v>12</v>
      </c>
      <c r="B76" s="27" t="s">
        <v>22</v>
      </c>
      <c r="C76" s="27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7.593</v>
      </c>
      <c r="I76" s="9">
        <v>1510.941</v>
      </c>
      <c r="J76" s="9">
        <v>0</v>
      </c>
      <c r="K76" s="9" t="b">
        <v>1</v>
      </c>
      <c r="L76" s="10">
        <v>46167.725694444445</v>
      </c>
      <c r="M76" s="28" t="str">
        <f t="shared" si="16"/>
        <v>238829520 -&gt; 5990070#1 | t=500 | 25/05/2026 17:25</v>
      </c>
      <c r="N76" s="29" t="str">
        <f t="shared" si="17"/>
        <v>3 min 20 s</v>
      </c>
      <c r="O76" s="6">
        <f t="shared" si="18"/>
        <v>27.334800000000001</v>
      </c>
      <c r="P76" s="24">
        <f t="shared" si="19"/>
        <v>1.5109410000000001</v>
      </c>
      <c r="Q76" s="4">
        <f t="shared" si="20"/>
        <v>2.3148148148148147E-3</v>
      </c>
      <c r="R76" s="29" t="str">
        <f t="shared" si="21"/>
        <v/>
      </c>
      <c r="S76" s="7" t="str">
        <f t="shared" si="22"/>
        <v/>
      </c>
      <c r="T76" s="29" t="str">
        <f t="shared" si="23"/>
        <v>Referencia</v>
      </c>
      <c r="V76" s="26"/>
      <c r="W76" s="26"/>
    </row>
    <row r="77" spans="1:23" x14ac:dyDescent="0.3">
      <c r="A77" s="27" t="s">
        <v>13</v>
      </c>
      <c r="B77" s="27" t="s">
        <v>22</v>
      </c>
      <c r="C77" s="27" t="s">
        <v>24</v>
      </c>
      <c r="D77" s="9">
        <v>500</v>
      </c>
      <c r="E77" s="9">
        <v>651</v>
      </c>
      <c r="F77" s="9">
        <v>151</v>
      </c>
      <c r="G77" s="9">
        <v>0</v>
      </c>
      <c r="H77" s="9">
        <v>10.052</v>
      </c>
      <c r="I77" s="9">
        <v>1507.8689999999999</v>
      </c>
      <c r="J77" s="9">
        <v>3</v>
      </c>
      <c r="K77" s="9" t="b">
        <v>1</v>
      </c>
      <c r="L77" s="10">
        <v>46167.725694444445</v>
      </c>
      <c r="M77" s="28" t="str">
        <f t="shared" si="16"/>
        <v>238829520 -&gt; 5990070#1 | t=500 | 25/05/2026 17:25</v>
      </c>
      <c r="N77" s="29" t="str">
        <f t="shared" si="17"/>
        <v>2 min 31 s</v>
      </c>
      <c r="O77" s="6">
        <f t="shared" si="18"/>
        <v>36.187199999999997</v>
      </c>
      <c r="P77" s="24">
        <f t="shared" si="19"/>
        <v>1.5078689999999999</v>
      </c>
      <c r="Q77" s="4">
        <f t="shared" si="20"/>
        <v>2.3148148148148147E-3</v>
      </c>
      <c r="R77" s="29" t="str">
        <f t="shared" si="21"/>
        <v>0 min 49 s</v>
      </c>
      <c r="S77" s="7">
        <f t="shared" si="22"/>
        <v>0.24499999999999994</v>
      </c>
      <c r="T77" s="29" t="str">
        <f t="shared" si="23"/>
        <v>Mejora</v>
      </c>
      <c r="V77" s="26"/>
      <c r="W77" s="26"/>
    </row>
    <row r="78" spans="1:23" x14ac:dyDescent="0.3">
      <c r="A78" s="27" t="s">
        <v>12</v>
      </c>
      <c r="B78" s="27" t="s">
        <v>22</v>
      </c>
      <c r="C78" s="27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7.6210000000000004</v>
      </c>
      <c r="I78" s="9">
        <v>1508.885</v>
      </c>
      <c r="J78" s="9">
        <v>0</v>
      </c>
      <c r="K78" s="9" t="b">
        <v>1</v>
      </c>
      <c r="L78" s="10">
        <v>46167.753472222219</v>
      </c>
      <c r="M78" s="28" t="str">
        <f t="shared" si="16"/>
        <v>238829520 -&gt; 5990070#1 | t=500 | 25/05/2026 18:05</v>
      </c>
      <c r="N78" s="29" t="str">
        <f t="shared" si="17"/>
        <v>3 min 19 s</v>
      </c>
      <c r="O78" s="6">
        <f t="shared" si="18"/>
        <v>27.435600000000001</v>
      </c>
      <c r="P78" s="24">
        <f t="shared" si="19"/>
        <v>1.508885</v>
      </c>
      <c r="Q78" s="4">
        <f t="shared" si="20"/>
        <v>2.3032407407407407E-3</v>
      </c>
      <c r="R78" s="29" t="str">
        <f t="shared" si="21"/>
        <v/>
      </c>
      <c r="S78" s="7" t="str">
        <f t="shared" si="22"/>
        <v/>
      </c>
      <c r="T78" s="29" t="str">
        <f t="shared" si="23"/>
        <v>Referencia</v>
      </c>
      <c r="V78" s="26"/>
      <c r="W78" s="26"/>
    </row>
    <row r="79" spans="1:23" x14ac:dyDescent="0.3">
      <c r="A79" s="27" t="s">
        <v>13</v>
      </c>
      <c r="B79" s="27" t="s">
        <v>22</v>
      </c>
      <c r="C79" s="27" t="s">
        <v>24</v>
      </c>
      <c r="D79" s="9">
        <v>500</v>
      </c>
      <c r="E79" s="9">
        <v>628</v>
      </c>
      <c r="F79" s="9">
        <v>128</v>
      </c>
      <c r="G79" s="9">
        <v>0</v>
      </c>
      <c r="H79" s="9">
        <v>11.885999999999999</v>
      </c>
      <c r="I79" s="9">
        <v>1509.575</v>
      </c>
      <c r="J79" s="9">
        <v>1</v>
      </c>
      <c r="K79" s="9" t="b">
        <v>1</v>
      </c>
      <c r="L79" s="10">
        <v>46167.753472222219</v>
      </c>
      <c r="M79" s="28" t="str">
        <f t="shared" si="16"/>
        <v>238829520 -&gt; 5990070#1 | t=500 | 25/05/2026 18:05</v>
      </c>
      <c r="N79" s="29" t="str">
        <f t="shared" si="17"/>
        <v>2 min 08 s</v>
      </c>
      <c r="O79" s="6">
        <f t="shared" si="18"/>
        <v>42.7896</v>
      </c>
      <c r="P79" s="24">
        <f t="shared" si="19"/>
        <v>1.5095750000000001</v>
      </c>
      <c r="Q79" s="4">
        <f t="shared" si="20"/>
        <v>2.3032407407407407E-3</v>
      </c>
      <c r="R79" s="29" t="str">
        <f t="shared" si="21"/>
        <v>1 min 11 s</v>
      </c>
      <c r="S79" s="7">
        <f t="shared" si="22"/>
        <v>0.35678391959798994</v>
      </c>
      <c r="T79" s="29" t="str">
        <f t="shared" si="23"/>
        <v>Mejora</v>
      </c>
      <c r="V79" s="26"/>
      <c r="W79" s="26"/>
    </row>
    <row r="80" spans="1:23" x14ac:dyDescent="0.3">
      <c r="A80" s="27" t="s">
        <v>12</v>
      </c>
      <c r="B80" s="27" t="s">
        <v>22</v>
      </c>
      <c r="C80" s="27" t="s">
        <v>24</v>
      </c>
      <c r="D80" s="9">
        <v>500</v>
      </c>
      <c r="E80" s="9">
        <v>720</v>
      </c>
      <c r="F80" s="9">
        <v>220</v>
      </c>
      <c r="G80" s="9">
        <v>0</v>
      </c>
      <c r="H80" s="9">
        <v>6.8680000000000003</v>
      </c>
      <c r="I80" s="9">
        <v>1504.0139999999999</v>
      </c>
      <c r="J80" s="9">
        <v>0</v>
      </c>
      <c r="K80" s="9" t="b">
        <v>1</v>
      </c>
      <c r="L80" s="10">
        <v>46167.760416666664</v>
      </c>
      <c r="M80" s="28" t="str">
        <f t="shared" si="16"/>
        <v>238829520 -&gt; 5990070#1 | t=500 | 25/05/2026 18:15</v>
      </c>
      <c r="N80" s="29" t="str">
        <f t="shared" si="17"/>
        <v>3 min 40 s</v>
      </c>
      <c r="O80" s="6">
        <f t="shared" si="18"/>
        <v>24.724800000000002</v>
      </c>
      <c r="P80" s="24">
        <f t="shared" si="19"/>
        <v>1.504014</v>
      </c>
      <c r="Q80" s="4">
        <f t="shared" si="20"/>
        <v>2.5462962962962965E-3</v>
      </c>
      <c r="R80" s="29" t="str">
        <f t="shared" si="21"/>
        <v/>
      </c>
      <c r="S80" s="7" t="str">
        <f t="shared" si="22"/>
        <v/>
      </c>
      <c r="T80" s="29" t="str">
        <f t="shared" si="23"/>
        <v>Referencia</v>
      </c>
      <c r="V80" s="26"/>
      <c r="W80" s="26"/>
    </row>
    <row r="81" spans="1:23" x14ac:dyDescent="0.3">
      <c r="A81" s="27" t="s">
        <v>13</v>
      </c>
      <c r="B81" s="27" t="s">
        <v>22</v>
      </c>
      <c r="C81" s="27" t="s">
        <v>24</v>
      </c>
      <c r="D81" s="9">
        <v>500</v>
      </c>
      <c r="E81" s="9">
        <v>630</v>
      </c>
      <c r="F81" s="9">
        <v>130</v>
      </c>
      <c r="G81" s="9">
        <v>0</v>
      </c>
      <c r="H81" s="9">
        <v>11.673</v>
      </c>
      <c r="I81" s="9">
        <v>1505.8430000000001</v>
      </c>
      <c r="J81" s="9">
        <v>1</v>
      </c>
      <c r="K81" s="9" t="b">
        <v>1</v>
      </c>
      <c r="L81" s="10">
        <v>46167.760416666664</v>
      </c>
      <c r="M81" s="28" t="str">
        <f t="shared" si="16"/>
        <v>238829520 -&gt; 5990070#1 | t=500 | 25/05/2026 18:15</v>
      </c>
      <c r="N81" s="29" t="str">
        <f t="shared" si="17"/>
        <v>2 min 10 s</v>
      </c>
      <c r="O81" s="6">
        <f t="shared" si="18"/>
        <v>42.022800000000004</v>
      </c>
      <c r="P81" s="24">
        <f t="shared" si="19"/>
        <v>1.505843</v>
      </c>
      <c r="Q81" s="4">
        <f t="shared" si="20"/>
        <v>2.5462962962962965E-3</v>
      </c>
      <c r="R81" s="29" t="str">
        <f t="shared" si="21"/>
        <v>1 min 30 s</v>
      </c>
      <c r="S81" s="7">
        <f t="shared" si="22"/>
        <v>0.40909090909090912</v>
      </c>
      <c r="T81" s="29" t="str">
        <f t="shared" si="23"/>
        <v>Mejora</v>
      </c>
      <c r="V81" s="26"/>
      <c r="W81" s="26"/>
    </row>
    <row r="82" spans="1:23" x14ac:dyDescent="0.3">
      <c r="A82" s="27" t="s">
        <v>12</v>
      </c>
      <c r="B82" s="27" t="s">
        <v>22</v>
      </c>
      <c r="C82" s="27" t="s">
        <v>24</v>
      </c>
      <c r="D82" s="9">
        <v>500</v>
      </c>
      <c r="E82" s="9">
        <v>700</v>
      </c>
      <c r="F82" s="9">
        <v>200</v>
      </c>
      <c r="G82" s="9">
        <v>0</v>
      </c>
      <c r="H82" s="9">
        <v>7.5449999999999999</v>
      </c>
      <c r="I82" s="9">
        <v>1501.4349999999999</v>
      </c>
      <c r="J82" s="9">
        <v>0</v>
      </c>
      <c r="K82" s="9" t="b">
        <v>1</v>
      </c>
      <c r="L82" s="10">
        <v>46167.763888888891</v>
      </c>
      <c r="M82" s="28" t="str">
        <f t="shared" si="16"/>
        <v>238829520 -&gt; 5990070#1 | t=500 | 25/05/2026 18:20</v>
      </c>
      <c r="N82" s="29" t="str">
        <f t="shared" si="17"/>
        <v>3 min 20 s</v>
      </c>
      <c r="O82" s="6">
        <f t="shared" si="18"/>
        <v>27.161999999999999</v>
      </c>
      <c r="P82" s="24">
        <f t="shared" si="19"/>
        <v>1.5014349999999999</v>
      </c>
      <c r="Q82" s="4">
        <f t="shared" si="20"/>
        <v>2.3148148148148147E-3</v>
      </c>
      <c r="R82" s="29" t="str">
        <f t="shared" si="21"/>
        <v/>
      </c>
      <c r="S82" s="7" t="str">
        <f t="shared" si="22"/>
        <v/>
      </c>
      <c r="T82" s="29" t="str">
        <f t="shared" si="23"/>
        <v>Referencia</v>
      </c>
      <c r="V82" s="26"/>
      <c r="W82" s="26"/>
    </row>
    <row r="83" spans="1:23" x14ac:dyDescent="0.3">
      <c r="A83" s="27" t="s">
        <v>13</v>
      </c>
      <c r="B83" s="27" t="s">
        <v>22</v>
      </c>
      <c r="C83" s="27" t="s">
        <v>24</v>
      </c>
      <c r="D83" s="9">
        <v>500</v>
      </c>
      <c r="E83" s="9">
        <v>630</v>
      </c>
      <c r="F83" s="9">
        <v>130</v>
      </c>
      <c r="G83" s="9">
        <v>0</v>
      </c>
      <c r="H83" s="9">
        <v>11.673</v>
      </c>
      <c r="I83" s="9">
        <v>1505.8430000000001</v>
      </c>
      <c r="J83" s="9">
        <v>1</v>
      </c>
      <c r="K83" s="9" t="b">
        <v>1</v>
      </c>
      <c r="L83" s="10">
        <v>46167.763888888891</v>
      </c>
      <c r="M83" s="28" t="str">
        <f t="shared" si="16"/>
        <v>238829520 -&gt; 5990070#1 | t=500 | 25/05/2026 18:20</v>
      </c>
      <c r="N83" s="29" t="str">
        <f t="shared" si="17"/>
        <v>2 min 10 s</v>
      </c>
      <c r="O83" s="6">
        <f t="shared" si="18"/>
        <v>42.022800000000004</v>
      </c>
      <c r="P83" s="24">
        <f t="shared" si="19"/>
        <v>1.505843</v>
      </c>
      <c r="Q83" s="4">
        <f t="shared" si="20"/>
        <v>2.3148148148148147E-3</v>
      </c>
      <c r="R83" s="29" t="str">
        <f t="shared" si="21"/>
        <v>1 min 10 s</v>
      </c>
      <c r="S83" s="7">
        <f t="shared" si="22"/>
        <v>0.35</v>
      </c>
      <c r="T83" s="29" t="str">
        <f t="shared" si="23"/>
        <v>Mejora</v>
      </c>
      <c r="V83" s="26"/>
      <c r="W83" s="26"/>
    </row>
    <row r="84" spans="1:23" x14ac:dyDescent="0.3">
      <c r="A84" s="27" t="s">
        <v>12</v>
      </c>
      <c r="B84" s="27" t="s">
        <v>22</v>
      </c>
      <c r="C84" s="27" t="s">
        <v>24</v>
      </c>
      <c r="D84" s="9">
        <v>500</v>
      </c>
      <c r="E84" s="9">
        <v>704</v>
      </c>
      <c r="F84" s="9">
        <v>204</v>
      </c>
      <c r="G84" s="9">
        <v>0</v>
      </c>
      <c r="H84" s="9">
        <v>7.4349999999999996</v>
      </c>
      <c r="I84" s="9">
        <v>1509.373</v>
      </c>
      <c r="J84" s="9">
        <v>0</v>
      </c>
      <c r="K84" s="9" t="b">
        <v>1</v>
      </c>
      <c r="L84" s="10">
        <v>46167.767430555556</v>
      </c>
      <c r="M84" s="28" t="str">
        <f t="shared" si="16"/>
        <v>238829520 -&gt; 5990070#1 | t=500 | 25/05/2026 18:25</v>
      </c>
      <c r="N84" s="29" t="str">
        <f t="shared" si="17"/>
        <v>3 min 24 s</v>
      </c>
      <c r="O84" s="6">
        <f t="shared" si="18"/>
        <v>26.765999999999998</v>
      </c>
      <c r="P84" s="24">
        <f t="shared" si="19"/>
        <v>1.5093730000000001</v>
      </c>
      <c r="Q84" s="4">
        <f t="shared" si="20"/>
        <v>2.3611111111111111E-3</v>
      </c>
      <c r="R84" s="29" t="str">
        <f t="shared" si="21"/>
        <v/>
      </c>
      <c r="S84" s="7" t="str">
        <f t="shared" si="22"/>
        <v/>
      </c>
      <c r="T84" s="29" t="str">
        <f t="shared" si="23"/>
        <v>Referencia</v>
      </c>
      <c r="V84" s="26"/>
      <c r="W84" s="26"/>
    </row>
    <row r="85" spans="1:23" x14ac:dyDescent="0.3">
      <c r="A85" s="27" t="s">
        <v>13</v>
      </c>
      <c r="B85" s="27" t="s">
        <v>22</v>
      </c>
      <c r="C85" s="27" t="s">
        <v>24</v>
      </c>
      <c r="D85" s="9">
        <v>500</v>
      </c>
      <c r="E85" s="9">
        <v>636</v>
      </c>
      <c r="F85" s="9">
        <v>136</v>
      </c>
      <c r="G85" s="9">
        <v>0</v>
      </c>
      <c r="H85" s="9">
        <v>11.185</v>
      </c>
      <c r="I85" s="9">
        <v>1509.9110000000001</v>
      </c>
      <c r="J85" s="9">
        <v>1</v>
      </c>
      <c r="K85" s="9" t="b">
        <v>1</v>
      </c>
      <c r="L85" s="10">
        <v>46167.767430555556</v>
      </c>
      <c r="M85" s="28" t="str">
        <f t="shared" si="16"/>
        <v>238829520 -&gt; 5990070#1 | t=500 | 25/05/2026 18:25</v>
      </c>
      <c r="N85" s="29" t="str">
        <f t="shared" si="17"/>
        <v>2 min 16 s</v>
      </c>
      <c r="O85" s="6">
        <f t="shared" si="18"/>
        <v>40.266000000000005</v>
      </c>
      <c r="P85" s="24">
        <f t="shared" si="19"/>
        <v>1.509911</v>
      </c>
      <c r="Q85" s="4">
        <f t="shared" si="20"/>
        <v>2.3611111111111111E-3</v>
      </c>
      <c r="R85" s="29" t="str">
        <f t="shared" si="21"/>
        <v>1 min 08 s</v>
      </c>
      <c r="S85" s="7">
        <f t="shared" si="22"/>
        <v>0.33333333333333331</v>
      </c>
      <c r="T85" s="29" t="str">
        <f t="shared" si="23"/>
        <v>Mejora</v>
      </c>
      <c r="V85" s="26"/>
      <c r="W85" s="26"/>
    </row>
    <row r="86" spans="1:23" x14ac:dyDescent="0.3">
      <c r="A86" s="27" t="s">
        <v>12</v>
      </c>
      <c r="B86" s="27" t="s">
        <v>22</v>
      </c>
      <c r="C86" s="27" t="s">
        <v>24</v>
      </c>
      <c r="D86" s="9">
        <v>500</v>
      </c>
      <c r="E86" s="9">
        <v>699</v>
      </c>
      <c r="F86" s="9">
        <v>199</v>
      </c>
      <c r="G86" s="9">
        <v>0</v>
      </c>
      <c r="H86" s="9">
        <v>7.6079999999999997</v>
      </c>
      <c r="I86" s="9">
        <v>1506.289</v>
      </c>
      <c r="J86" s="9">
        <v>0</v>
      </c>
      <c r="K86" s="9" t="b">
        <v>1</v>
      </c>
      <c r="L86" s="10">
        <v>46167.774375000001</v>
      </c>
      <c r="M86" s="28" t="str">
        <f t="shared" si="16"/>
        <v>238829520 -&gt; 5990070#1 | t=500 | 25/05/2026 18:35</v>
      </c>
      <c r="N86" s="29" t="str">
        <f t="shared" si="17"/>
        <v>3 min 19 s</v>
      </c>
      <c r="O86" s="6">
        <f t="shared" si="18"/>
        <v>27.3888</v>
      </c>
      <c r="P86" s="24">
        <f t="shared" si="19"/>
        <v>1.506289</v>
      </c>
      <c r="Q86" s="4">
        <f t="shared" si="20"/>
        <v>2.3032407407407407E-3</v>
      </c>
      <c r="R86" s="29" t="str">
        <f t="shared" si="21"/>
        <v/>
      </c>
      <c r="S86" s="7" t="str">
        <f t="shared" si="22"/>
        <v/>
      </c>
      <c r="T86" s="29" t="str">
        <f t="shared" si="23"/>
        <v>Referencia</v>
      </c>
      <c r="V86" s="26"/>
      <c r="W86" s="26"/>
    </row>
    <row r="87" spans="1:23" x14ac:dyDescent="0.3">
      <c r="A87" s="27" t="s">
        <v>13</v>
      </c>
      <c r="B87" s="27" t="s">
        <v>22</v>
      </c>
      <c r="C87" s="27" t="s">
        <v>24</v>
      </c>
      <c r="D87" s="9">
        <v>500</v>
      </c>
      <c r="E87" s="9">
        <v>624</v>
      </c>
      <c r="F87" s="9">
        <v>124</v>
      </c>
      <c r="G87" s="9">
        <v>0</v>
      </c>
      <c r="H87" s="9">
        <v>12.257</v>
      </c>
      <c r="I87" s="9">
        <v>1507.634</v>
      </c>
      <c r="J87" s="9">
        <v>3</v>
      </c>
      <c r="K87" s="9" t="b">
        <v>1</v>
      </c>
      <c r="L87" s="10">
        <v>46167.774375000001</v>
      </c>
      <c r="M87" s="28" t="str">
        <f t="shared" si="16"/>
        <v>238829520 -&gt; 5990070#1 | t=500 | 25/05/2026 18:35</v>
      </c>
      <c r="N87" s="29" t="str">
        <f t="shared" si="17"/>
        <v>2 min 04 s</v>
      </c>
      <c r="O87" s="6">
        <f t="shared" si="18"/>
        <v>44.1252</v>
      </c>
      <c r="P87" s="24">
        <f t="shared" si="19"/>
        <v>1.5076339999999999</v>
      </c>
      <c r="Q87" s="4">
        <f t="shared" si="20"/>
        <v>2.3032407407407407E-3</v>
      </c>
      <c r="R87" s="29" t="str">
        <f t="shared" si="21"/>
        <v>1 min 15 s</v>
      </c>
      <c r="S87" s="7">
        <f t="shared" si="22"/>
        <v>0.37688442211055273</v>
      </c>
      <c r="T87" s="29" t="str">
        <f t="shared" si="23"/>
        <v>Mejora</v>
      </c>
      <c r="V87" s="26" t="s">
        <v>45</v>
      </c>
      <c r="W87" s="26" t="s">
        <v>43</v>
      </c>
    </row>
    <row r="88" spans="1:23" x14ac:dyDescent="0.3">
      <c r="A88" s="27" t="s">
        <v>12</v>
      </c>
      <c r="B88" s="27" t="s">
        <v>24</v>
      </c>
      <c r="C88" s="27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46168.489641203705</v>
      </c>
      <c r="M88" s="28" t="str">
        <f t="shared" si="16"/>
        <v>5990070#1 -&gt; 238829520 | t=500 | 26/05/2026 11:45</v>
      </c>
      <c r="N88" s="29" t="str">
        <f t="shared" si="17"/>
        <v>7 min 01 s</v>
      </c>
      <c r="O88" s="6">
        <f t="shared" si="18"/>
        <v>21.110399999999998</v>
      </c>
      <c r="P88" s="24">
        <f t="shared" si="19"/>
        <v>1.6184430000000001</v>
      </c>
      <c r="Q88" s="4">
        <f t="shared" si="20"/>
        <v>4.8726851851851848E-3</v>
      </c>
      <c r="R88" s="29" t="str">
        <f t="shared" si="21"/>
        <v/>
      </c>
      <c r="S88" s="7" t="str">
        <f t="shared" si="22"/>
        <v/>
      </c>
      <c r="T88" s="29" t="str">
        <f t="shared" si="23"/>
        <v>Referencia</v>
      </c>
    </row>
    <row r="89" spans="1:23" x14ac:dyDescent="0.3">
      <c r="A89" s="27" t="s">
        <v>13</v>
      </c>
      <c r="B89" s="27" t="s">
        <v>24</v>
      </c>
      <c r="C89" s="27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46168.489641203705</v>
      </c>
      <c r="M89" s="28" t="str">
        <f t="shared" si="16"/>
        <v>5990070#1 -&gt; 238829520 | t=500 | 26/05/2026 11:45</v>
      </c>
      <c r="N89" s="29" t="str">
        <f t="shared" si="17"/>
        <v>7 min 01 s</v>
      </c>
      <c r="O89" s="6">
        <f t="shared" si="18"/>
        <v>21.110399999999998</v>
      </c>
      <c r="P89" s="24">
        <f t="shared" si="19"/>
        <v>1.6184430000000001</v>
      </c>
      <c r="Q89" s="4">
        <f t="shared" si="20"/>
        <v>4.8726851851851848E-3</v>
      </c>
      <c r="R89" s="29" t="str">
        <f t="shared" si="21"/>
        <v>0 min 00 s</v>
      </c>
      <c r="S89" s="7">
        <f t="shared" si="22"/>
        <v>0</v>
      </c>
      <c r="T89" s="29" t="str">
        <f t="shared" si="23"/>
        <v>Igual</v>
      </c>
    </row>
    <row r="90" spans="1:23" x14ac:dyDescent="0.3">
      <c r="A90" s="27" t="s">
        <v>12</v>
      </c>
      <c r="B90" s="27" t="s">
        <v>22</v>
      </c>
      <c r="C90" s="27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46168.51394675926</v>
      </c>
      <c r="M90" s="28" t="str">
        <f t="shared" si="16"/>
        <v>238829520 -&gt; 5990070#1 | t=1500 | 26/05/2026 12:20</v>
      </c>
      <c r="N90" s="29" t="str">
        <f t="shared" si="17"/>
        <v>5 min 06 s</v>
      </c>
      <c r="O90" s="6">
        <f t="shared" si="18"/>
        <v>17.784000000000002</v>
      </c>
      <c r="P90" s="24">
        <f t="shared" si="19"/>
        <v>1.50657</v>
      </c>
      <c r="Q90" s="4">
        <f t="shared" si="20"/>
        <v>3.5416666666666665E-3</v>
      </c>
      <c r="R90" s="29" t="str">
        <f t="shared" si="21"/>
        <v/>
      </c>
      <c r="S90" s="7" t="str">
        <f t="shared" si="22"/>
        <v/>
      </c>
      <c r="T90" s="29" t="str">
        <f t="shared" si="23"/>
        <v>Referencia</v>
      </c>
    </row>
    <row r="91" spans="1:23" x14ac:dyDescent="0.3">
      <c r="A91" s="27" t="s">
        <v>13</v>
      </c>
      <c r="B91" s="27" t="s">
        <v>22</v>
      </c>
      <c r="C91" s="27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46168.51394675926</v>
      </c>
      <c r="M91" s="28" t="str">
        <f t="shared" si="16"/>
        <v>238829520 -&gt; 5990070#1 | t=1500 | 26/05/2026 12:20</v>
      </c>
      <c r="N91" s="29" t="str">
        <f t="shared" si="17"/>
        <v>7 min 42 s</v>
      </c>
      <c r="O91" s="6">
        <f t="shared" si="18"/>
        <v>11.764799999999999</v>
      </c>
      <c r="P91" s="24">
        <f t="shared" si="19"/>
        <v>1.5065299999999999</v>
      </c>
      <c r="Q91" s="4">
        <f t="shared" si="20"/>
        <v>3.5416666666666665E-3</v>
      </c>
      <c r="R91" s="29" t="str">
        <f t="shared" si="21"/>
        <v>-2 min 36 s</v>
      </c>
      <c r="S91" s="7">
        <f t="shared" si="22"/>
        <v>-0.50980392156862742</v>
      </c>
      <c r="T91" s="29" t="str">
        <f t="shared" si="23"/>
        <v>Empeora</v>
      </c>
    </row>
    <row r="92" spans="1:23" x14ac:dyDescent="0.3">
      <c r="A92" s="27" t="s">
        <v>12</v>
      </c>
      <c r="B92" s="27" t="s">
        <v>22</v>
      </c>
      <c r="C92" s="27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46168.51394675926</v>
      </c>
      <c r="M92" s="28" t="str">
        <f t="shared" si="16"/>
        <v>238829520 -&gt; 5990070#1 | t=700 | 26/05/2026 12:20</v>
      </c>
      <c r="N92" s="29" t="str">
        <f t="shared" si="17"/>
        <v>3 min 01 s</v>
      </c>
      <c r="O92" s="6">
        <f t="shared" si="18"/>
        <v>30.103200000000001</v>
      </c>
      <c r="P92" s="24">
        <f t="shared" si="19"/>
        <v>1.5051840000000001</v>
      </c>
      <c r="Q92" s="4">
        <f t="shared" si="20"/>
        <v>2.0949074074074073E-3</v>
      </c>
      <c r="R92" s="29" t="str">
        <f t="shared" si="21"/>
        <v/>
      </c>
      <c r="S92" s="7" t="str">
        <f t="shared" si="22"/>
        <v/>
      </c>
      <c r="T92" s="29" t="str">
        <f t="shared" si="23"/>
        <v>Referencia</v>
      </c>
    </row>
    <row r="93" spans="1:23" x14ac:dyDescent="0.3">
      <c r="A93" s="27" t="s">
        <v>13</v>
      </c>
      <c r="B93" s="27" t="s">
        <v>22</v>
      </c>
      <c r="C93" s="27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46168.51394675926</v>
      </c>
      <c r="M93" s="28" t="str">
        <f t="shared" si="16"/>
        <v>238829520 -&gt; 5990070#1 | t=700 | 26/05/2026 12:20</v>
      </c>
      <c r="N93" s="29" t="str">
        <f t="shared" si="17"/>
        <v>2 min 58 s</v>
      </c>
      <c r="O93" s="6">
        <f t="shared" si="18"/>
        <v>30.581999999999997</v>
      </c>
      <c r="P93" s="24">
        <f t="shared" si="19"/>
        <v>1.503687</v>
      </c>
      <c r="Q93" s="4">
        <f t="shared" si="20"/>
        <v>2.0949074074074073E-3</v>
      </c>
      <c r="R93" s="29" t="str">
        <f t="shared" si="21"/>
        <v>0 min 03 s</v>
      </c>
      <c r="S93" s="7">
        <f t="shared" si="22"/>
        <v>1.6574585635359018E-2</v>
      </c>
      <c r="T93" s="29" t="str">
        <f t="shared" si="23"/>
        <v>Mejora</v>
      </c>
    </row>
    <row r="94" spans="1:23" x14ac:dyDescent="0.3">
      <c r="A94" s="27" t="s">
        <v>12</v>
      </c>
      <c r="B94" s="27" t="s">
        <v>22</v>
      </c>
      <c r="C94" s="27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46168.51394675926</v>
      </c>
      <c r="M94" s="28" t="str">
        <f t="shared" si="16"/>
        <v>238829520 -&gt; 5990070#1 | t=500 | 26/05/2026 12:20</v>
      </c>
      <c r="N94" s="29" t="str">
        <f t="shared" si="17"/>
        <v>3 min 20 s</v>
      </c>
      <c r="O94" s="6">
        <f t="shared" si="18"/>
        <v>27.331199999999999</v>
      </c>
      <c r="P94" s="24">
        <f t="shared" si="19"/>
        <v>1.5107190000000001</v>
      </c>
      <c r="Q94" s="4">
        <f t="shared" si="20"/>
        <v>2.3148148148148147E-3</v>
      </c>
      <c r="R94" s="29" t="str">
        <f t="shared" si="21"/>
        <v/>
      </c>
      <c r="S94" s="7" t="str">
        <f t="shared" si="22"/>
        <v/>
      </c>
      <c r="T94" s="29" t="str">
        <f t="shared" si="23"/>
        <v>Referencia</v>
      </c>
    </row>
    <row r="95" spans="1:23" x14ac:dyDescent="0.3">
      <c r="A95" s="27" t="s">
        <v>13</v>
      </c>
      <c r="B95" s="27" t="s">
        <v>22</v>
      </c>
      <c r="C95" s="27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46168.51394675926</v>
      </c>
      <c r="M95" s="28" t="str">
        <f t="shared" si="16"/>
        <v>238829520 -&gt; 5990070#1 | t=500 | 26/05/2026 12:20</v>
      </c>
      <c r="N95" s="29" t="str">
        <f t="shared" si="17"/>
        <v>2 min 08 s</v>
      </c>
      <c r="O95" s="6">
        <f t="shared" si="18"/>
        <v>42.688800000000001</v>
      </c>
      <c r="P95" s="24">
        <f t="shared" si="19"/>
        <v>1.5059559999999999</v>
      </c>
      <c r="Q95" s="4">
        <f t="shared" si="20"/>
        <v>2.3148148148148147E-3</v>
      </c>
      <c r="R95" s="29" t="str">
        <f t="shared" si="21"/>
        <v>1 min 12 s</v>
      </c>
      <c r="S95" s="7">
        <f t="shared" si="22"/>
        <v>0.36</v>
      </c>
      <c r="T95" s="29" t="str">
        <f t="shared" si="23"/>
        <v>Mejora</v>
      </c>
    </row>
    <row r="96" spans="1:23" x14ac:dyDescent="0.3">
      <c r="A96" s="27" t="s">
        <v>12</v>
      </c>
      <c r="B96" s="27" t="s">
        <v>22</v>
      </c>
      <c r="C96" s="27" t="s">
        <v>24</v>
      </c>
      <c r="D96" s="9">
        <v>500</v>
      </c>
      <c r="E96" s="9">
        <v>792</v>
      </c>
      <c r="F96" s="9">
        <v>292</v>
      </c>
      <c r="G96" s="9">
        <v>0</v>
      </c>
      <c r="H96" s="9">
        <v>5.165</v>
      </c>
      <c r="I96" s="9">
        <v>1502.981</v>
      </c>
      <c r="J96" s="9">
        <v>0</v>
      </c>
      <c r="K96" s="9" t="b">
        <v>1</v>
      </c>
      <c r="L96" s="10">
        <v>46182.562696759262</v>
      </c>
      <c r="M96" s="28" t="str">
        <f t="shared" si="16"/>
        <v>238829520 -&gt; 5990070#1 | t=500 | 09/06/2026 13:30</v>
      </c>
      <c r="N96" s="29" t="str">
        <f t="shared" si="17"/>
        <v>4 min 52 s</v>
      </c>
      <c r="O96" s="6">
        <f t="shared" si="18"/>
        <v>18.594000000000001</v>
      </c>
      <c r="P96" s="24">
        <f t="shared" si="19"/>
        <v>1.5029809999999999</v>
      </c>
      <c r="Q96" s="4">
        <f t="shared" si="20"/>
        <v>3.3796296296296296E-3</v>
      </c>
      <c r="R96" s="29" t="str">
        <f t="shared" si="21"/>
        <v/>
      </c>
      <c r="S96" s="7" t="str">
        <f t="shared" si="22"/>
        <v/>
      </c>
      <c r="T96" s="29" t="str">
        <f t="shared" si="23"/>
        <v>Referencia</v>
      </c>
    </row>
    <row r="97" spans="1:20" x14ac:dyDescent="0.3">
      <c r="A97" s="27" t="s">
        <v>13</v>
      </c>
      <c r="B97" s="27" t="s">
        <v>22</v>
      </c>
      <c r="C97" s="27" t="s">
        <v>24</v>
      </c>
      <c r="D97" s="9">
        <v>500</v>
      </c>
      <c r="E97" s="9">
        <v>701</v>
      </c>
      <c r="F97" s="9">
        <v>201</v>
      </c>
      <c r="G97" s="9">
        <v>0</v>
      </c>
      <c r="H97" s="9">
        <v>7.5119999999999996</v>
      </c>
      <c r="I97" s="9">
        <v>1502.316</v>
      </c>
      <c r="J97" s="9">
        <v>3</v>
      </c>
      <c r="K97" s="9" t="b">
        <v>1</v>
      </c>
      <c r="L97" s="10">
        <v>46182.562696759262</v>
      </c>
      <c r="M97" s="28" t="str">
        <f t="shared" si="16"/>
        <v>238829520 -&gt; 5990070#1 | t=500 | 09/06/2026 13:30</v>
      </c>
      <c r="N97" s="29" t="str">
        <f t="shared" si="17"/>
        <v>3 min 21 s</v>
      </c>
      <c r="O97" s="6">
        <f t="shared" si="18"/>
        <v>27.043199999999999</v>
      </c>
      <c r="P97" s="24">
        <f t="shared" si="19"/>
        <v>1.502316</v>
      </c>
      <c r="Q97" s="4">
        <f t="shared" si="20"/>
        <v>3.3796296296296296E-3</v>
      </c>
      <c r="R97" s="29" t="str">
        <f t="shared" si="21"/>
        <v>1 min 31 s</v>
      </c>
      <c r="S97" s="7">
        <f t="shared" si="22"/>
        <v>0.31164383561643838</v>
      </c>
      <c r="T97" s="29" t="str">
        <f t="shared" si="23"/>
        <v>Mejora</v>
      </c>
    </row>
    <row r="98" spans="1:20" x14ac:dyDescent="0.3">
      <c r="A98" s="27" t="s">
        <v>12</v>
      </c>
      <c r="B98" s="27" t="s">
        <v>22</v>
      </c>
      <c r="C98" s="27" t="s">
        <v>24</v>
      </c>
      <c r="D98" s="9">
        <v>500</v>
      </c>
      <c r="E98" s="9">
        <v>700</v>
      </c>
      <c r="F98" s="9">
        <v>200</v>
      </c>
      <c r="G98" s="9">
        <v>0</v>
      </c>
      <c r="H98" s="9">
        <v>7.5819999999999999</v>
      </c>
      <c r="I98" s="9">
        <v>1508.8440000000001</v>
      </c>
      <c r="J98" s="9">
        <v>0</v>
      </c>
      <c r="K98" s="9" t="b">
        <v>1</v>
      </c>
      <c r="L98" s="10">
        <v>46214.784780092596</v>
      </c>
      <c r="M98" s="28" t="str">
        <f t="shared" ref="M98:M129" si="24">B98&amp;" -&gt; "&amp;C98&amp;" | t="&amp;D98&amp;" | "&amp;TEXT(L98,"dd/mm/aaaa hh:mm")</f>
        <v>238829520 -&gt; 5990070#1 | t=500 | 11/07/2026 18:50</v>
      </c>
      <c r="N98" s="29" t="str">
        <f t="shared" si="17"/>
        <v>3 min 20 s</v>
      </c>
      <c r="O98" s="6">
        <f t="shared" si="18"/>
        <v>27.295200000000001</v>
      </c>
      <c r="P98" s="24">
        <f t="shared" si="19"/>
        <v>1.5088440000000001</v>
      </c>
      <c r="Q98" s="4">
        <f t="shared" si="20"/>
        <v>2.3148148148148147E-3</v>
      </c>
      <c r="R98" s="29" t="str">
        <f t="shared" ref="R98:R129" si="25">IF(OR(A98&lt;&gt;"inteligente",K98&lt;&gt;TRUE,Q98=""),"",IF(Q98-F98/86400&lt;0,"-","")&amp;INT(ABS(Q98-F98/86400)*1440)&amp;" min "&amp;TEXT(MOD(ABS(Q98-F98/86400)*86400,60),"00")&amp;" s")</f>
        <v/>
      </c>
      <c r="S98" s="7" t="str">
        <f t="shared" si="22"/>
        <v/>
      </c>
      <c r="T98" s="29" t="str">
        <f t="shared" ref="T98:T129" si="26">IF(K98&lt;&gt;TRUE,"No llega",IF(A98="base","Referencia",IF(S98="","Sin referencia",IF(S98&gt;0,"Mejora",IF(S98&lt;0,"Empeora","Igual")))))</f>
        <v>Referencia</v>
      </c>
    </row>
    <row r="99" spans="1:20" x14ac:dyDescent="0.3">
      <c r="A99" s="27" t="s">
        <v>13</v>
      </c>
      <c r="B99" s="27" t="s">
        <v>22</v>
      </c>
      <c r="C99" s="27" t="s">
        <v>24</v>
      </c>
      <c r="D99" s="9">
        <v>500</v>
      </c>
      <c r="E99" s="9">
        <v>637</v>
      </c>
      <c r="F99" s="9">
        <v>137</v>
      </c>
      <c r="G99" s="9">
        <v>0</v>
      </c>
      <c r="H99" s="9">
        <v>11.076000000000001</v>
      </c>
      <c r="I99" s="9">
        <v>1506.35</v>
      </c>
      <c r="J99" s="9">
        <v>1</v>
      </c>
      <c r="K99" s="9" t="b">
        <v>1</v>
      </c>
      <c r="L99" s="10">
        <v>46214.784780092596</v>
      </c>
      <c r="M99" s="28" t="str">
        <f t="shared" si="24"/>
        <v>238829520 -&gt; 5990070#1 | t=500 | 11/07/2026 18:50</v>
      </c>
      <c r="N99" s="31" t="str">
        <f t="shared" si="17"/>
        <v>2 min 17 s</v>
      </c>
      <c r="O99" s="20">
        <f t="shared" si="18"/>
        <v>39.873600000000003</v>
      </c>
      <c r="P99" s="25">
        <f t="shared" si="19"/>
        <v>1.5063499999999999</v>
      </c>
      <c r="Q99" s="21">
        <f t="shared" si="20"/>
        <v>2.3148148148148147E-3</v>
      </c>
      <c r="R99" s="31" t="str">
        <f t="shared" si="25"/>
        <v>1 min 03 s</v>
      </c>
      <c r="S99" s="22">
        <f t="shared" si="22"/>
        <v>0.315</v>
      </c>
      <c r="T99" s="31" t="str">
        <f t="shared" si="26"/>
        <v>Mejora</v>
      </c>
    </row>
    <row r="100" spans="1:20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3"/>
      <c r="M100" s="2"/>
      <c r="N100" s="1"/>
      <c r="O100" s="6"/>
      <c r="P100" s="24"/>
      <c r="Q100" s="4"/>
      <c r="R100" s="1"/>
      <c r="S100" s="7"/>
      <c r="T100" s="1"/>
    </row>
    <row r="101" spans="1:20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3"/>
      <c r="M101" s="2"/>
      <c r="N101" s="1"/>
      <c r="O101" s="6"/>
      <c r="P101" s="24"/>
      <c r="Q101" s="4"/>
      <c r="R101" s="1"/>
      <c r="S101" s="7"/>
      <c r="T101" s="1"/>
    </row>
    <row r="102" spans="1:20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3"/>
      <c r="M102" s="2"/>
      <c r="N102" s="1"/>
      <c r="O102" s="6"/>
      <c r="P102" s="24"/>
      <c r="Q102" s="4"/>
      <c r="R102" s="1"/>
      <c r="S102" s="7"/>
      <c r="T102" s="1"/>
    </row>
    <row r="103" spans="1:20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3"/>
      <c r="M103" s="2"/>
      <c r="N103" s="1"/>
      <c r="O103" s="6"/>
      <c r="P103" s="24"/>
      <c r="Q103" s="4"/>
      <c r="R103" s="1"/>
      <c r="S103" s="7"/>
      <c r="T103" s="1"/>
    </row>
    <row r="104" spans="1:20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3"/>
      <c r="M104" s="2"/>
      <c r="N104" s="1"/>
      <c r="O104" s="6"/>
      <c r="P104" s="24"/>
      <c r="Q104" s="4"/>
      <c r="R104" s="1"/>
      <c r="S104" s="7"/>
      <c r="T104" s="1"/>
    </row>
    <row r="105" spans="1:20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3"/>
      <c r="M105" s="2"/>
      <c r="N105" s="1"/>
      <c r="O105" s="6"/>
      <c r="P105" s="24"/>
      <c r="Q105" s="4"/>
      <c r="R105" s="1"/>
      <c r="S105" s="7"/>
      <c r="T105" s="1"/>
    </row>
    <row r="106" spans="1:20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3"/>
      <c r="M106" s="2"/>
      <c r="N106" s="1"/>
      <c r="O106" s="6"/>
      <c r="P106" s="24"/>
      <c r="Q106" s="4"/>
      <c r="R106" s="1"/>
      <c r="S106" s="7"/>
      <c r="T106" s="1"/>
    </row>
    <row r="107" spans="1:20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3"/>
      <c r="M107" s="2"/>
      <c r="N107" s="1"/>
      <c r="O107" s="6"/>
      <c r="P107" s="24"/>
      <c r="Q107" s="4"/>
      <c r="R107" s="1"/>
      <c r="S107" s="7"/>
      <c r="T107" s="1"/>
    </row>
    <row r="108" spans="1:20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3"/>
      <c r="M108" s="2"/>
      <c r="N108" s="1"/>
      <c r="O108" s="6"/>
      <c r="P108" s="24"/>
      <c r="Q108" s="4"/>
      <c r="R108" s="1"/>
      <c r="S108" s="7"/>
      <c r="T108" s="1"/>
    </row>
    <row r="109" spans="1:20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3"/>
      <c r="M109" s="2"/>
      <c r="N109" s="1"/>
      <c r="O109" s="6"/>
      <c r="P109" s="24"/>
      <c r="Q109" s="4"/>
      <c r="R109" s="1"/>
      <c r="S109" s="7"/>
      <c r="T109" s="1"/>
    </row>
    <row r="110" spans="1:20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3"/>
      <c r="M110" s="2"/>
      <c r="N110" s="1"/>
      <c r="O110" s="6"/>
      <c r="P110" s="24"/>
      <c r="Q110" s="4"/>
      <c r="R110" s="1"/>
      <c r="S110" s="7"/>
      <c r="T110" s="1"/>
    </row>
    <row r="111" spans="1:20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3"/>
      <c r="M111" s="2"/>
      <c r="N111" s="1"/>
      <c r="O111" s="6"/>
      <c r="P111" s="24"/>
      <c r="Q111" s="4"/>
      <c r="R111" s="1"/>
      <c r="S111" s="7"/>
      <c r="T111" s="1"/>
    </row>
    <row r="112" spans="1:20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3"/>
      <c r="M112" s="2"/>
      <c r="N112" s="1"/>
      <c r="O112" s="6"/>
      <c r="P112" s="24"/>
      <c r="Q112" s="4"/>
      <c r="R112" s="1"/>
      <c r="S112" s="7"/>
      <c r="T112" s="1"/>
    </row>
    <row r="113" spans="1:20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3"/>
      <c r="M113" s="2"/>
      <c r="N113" s="1"/>
      <c r="O113" s="6"/>
      <c r="P113" s="24"/>
      <c r="Q113" s="4"/>
      <c r="R113" s="1"/>
      <c r="S113" s="7"/>
      <c r="T113" s="1"/>
    </row>
    <row r="114" spans="1:20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3"/>
      <c r="M114" s="2"/>
      <c r="N114" s="1"/>
      <c r="O114" s="6"/>
      <c r="P114" s="24"/>
      <c r="Q114" s="4"/>
      <c r="R114" s="1"/>
      <c r="S114" s="7"/>
      <c r="T114" s="1"/>
    </row>
    <row r="115" spans="1:20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3"/>
      <c r="M115" s="2"/>
      <c r="N115" s="1"/>
      <c r="O115" s="6"/>
      <c r="P115" s="24"/>
      <c r="Q115" s="4"/>
      <c r="R115" s="1"/>
      <c r="S115" s="7"/>
      <c r="T115" s="1"/>
    </row>
    <row r="116" spans="1:20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3"/>
      <c r="M116" s="2"/>
      <c r="N116" s="1"/>
      <c r="O116" s="6"/>
      <c r="P116" s="24"/>
      <c r="Q116" s="4"/>
      <c r="R116" s="1"/>
      <c r="S116" s="7"/>
      <c r="T116" s="1"/>
    </row>
    <row r="117" spans="1:20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3"/>
      <c r="M117" s="2"/>
      <c r="N117" s="1"/>
      <c r="O117" s="6"/>
      <c r="P117" s="24"/>
      <c r="Q117" s="4"/>
      <c r="R117" s="1"/>
      <c r="S117" s="7"/>
      <c r="T117" s="1"/>
    </row>
    <row r="118" spans="1:20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3"/>
      <c r="M118" s="2"/>
      <c r="N118" s="1"/>
      <c r="O118" s="6"/>
      <c r="P118" s="24"/>
      <c r="Q118" s="4"/>
      <c r="R118" s="1"/>
      <c r="S118" s="7"/>
      <c r="T118" s="1"/>
    </row>
    <row r="119" spans="1:20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3"/>
      <c r="M119" s="2"/>
      <c r="N119" s="1"/>
      <c r="O119" s="6"/>
      <c r="P119" s="24"/>
      <c r="Q119" s="4"/>
      <c r="R119" s="1"/>
      <c r="S119" s="7"/>
      <c r="T119" s="1"/>
    </row>
    <row r="120" spans="1:20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3"/>
      <c r="M120" s="2"/>
      <c r="N120" s="1"/>
      <c r="O120" s="6"/>
      <c r="P120" s="24"/>
      <c r="Q120" s="4"/>
      <c r="R120" s="1"/>
      <c r="S120" s="7"/>
      <c r="T120" s="1"/>
    </row>
    <row r="121" spans="1:20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3"/>
      <c r="M121" s="2"/>
      <c r="N121" s="1"/>
      <c r="O121" s="6"/>
      <c r="P121" s="24"/>
      <c r="Q121" s="4"/>
      <c r="R121" s="1"/>
      <c r="S121" s="7"/>
      <c r="T121" s="1"/>
    </row>
    <row r="122" spans="1:20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3"/>
      <c r="M122" s="2"/>
      <c r="N122" s="1"/>
      <c r="O122" s="6"/>
      <c r="P122" s="24"/>
      <c r="Q122" s="4"/>
      <c r="R122" s="1"/>
      <c r="S122" s="7"/>
      <c r="T122" s="1"/>
    </row>
    <row r="123" spans="1:20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3"/>
      <c r="M123" s="2"/>
      <c r="N123" s="1"/>
      <c r="O123" s="6"/>
      <c r="P123" s="24"/>
      <c r="Q123" s="4"/>
      <c r="R123" s="1"/>
      <c r="S123" s="7"/>
      <c r="T123" s="1"/>
    </row>
    <row r="124" spans="1:20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3"/>
      <c r="M124" s="2"/>
      <c r="N124" s="1"/>
      <c r="O124" s="6"/>
      <c r="P124" s="24"/>
      <c r="Q124" s="4"/>
      <c r="R124" s="1"/>
      <c r="S124" s="7"/>
      <c r="T124" s="1"/>
    </row>
    <row r="125" spans="1:20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3"/>
      <c r="M125" s="2"/>
      <c r="N125" s="1"/>
      <c r="O125" s="6"/>
      <c r="P125" s="24"/>
      <c r="Q125" s="4"/>
      <c r="R125" s="1"/>
      <c r="S125" s="7"/>
      <c r="T125" s="1"/>
    </row>
    <row r="126" spans="1:20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3"/>
      <c r="M126" s="2"/>
      <c r="N126" s="1"/>
      <c r="O126" s="6"/>
      <c r="P126" s="24"/>
      <c r="Q126" s="4"/>
      <c r="R126" s="1"/>
      <c r="S126" s="7"/>
      <c r="T126" s="1"/>
    </row>
    <row r="127" spans="1:20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3"/>
      <c r="M127" s="2"/>
      <c r="N127" s="1"/>
      <c r="O127" s="6"/>
      <c r="P127" s="24"/>
      <c r="Q127" s="4"/>
      <c r="R127" s="1"/>
      <c r="S127" s="7"/>
      <c r="T127" s="1"/>
    </row>
    <row r="128" spans="1:20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3"/>
      <c r="M128" s="2"/>
      <c r="N128" s="1"/>
      <c r="O128" s="6"/>
      <c r="P128" s="24"/>
      <c r="Q128" s="4"/>
      <c r="R128" s="1"/>
      <c r="S128" s="7"/>
      <c r="T128" s="1"/>
    </row>
    <row r="129" spans="1:20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3"/>
      <c r="M129" s="2"/>
      <c r="N129" s="1"/>
      <c r="O129" s="6"/>
      <c r="P129" s="24"/>
      <c r="Q129" s="4"/>
      <c r="R129" s="1"/>
      <c r="S129" s="7"/>
      <c r="T129" s="1"/>
    </row>
    <row r="130" spans="1:20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3"/>
      <c r="M130" s="2"/>
      <c r="N130" s="1"/>
      <c r="O130" s="6"/>
      <c r="P130" s="24"/>
      <c r="Q130" s="4"/>
      <c r="R130" s="1"/>
      <c r="S130" s="7"/>
      <c r="T130" s="1"/>
    </row>
    <row r="131" spans="1:20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3"/>
      <c r="M131" s="2"/>
      <c r="N131" s="1"/>
      <c r="O131" s="6"/>
      <c r="P131" s="24"/>
      <c r="Q131" s="4"/>
      <c r="R131" s="1"/>
      <c r="S131" s="7"/>
      <c r="T131" s="1"/>
    </row>
    <row r="132" spans="1:20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3"/>
      <c r="M132" s="2"/>
      <c r="N132" s="1"/>
      <c r="O132" s="6"/>
      <c r="P132" s="24"/>
      <c r="Q132" s="4"/>
      <c r="R132" s="1"/>
      <c r="S132" s="7"/>
      <c r="T132" s="1"/>
    </row>
    <row r="133" spans="1:20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3"/>
      <c r="M133" s="2"/>
      <c r="N133" s="1"/>
      <c r="O133" s="6"/>
      <c r="P133" s="24"/>
      <c r="Q133" s="4"/>
      <c r="R133" s="1"/>
      <c r="S133" s="7"/>
      <c r="T133" s="1"/>
    </row>
    <row r="134" spans="1:20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3"/>
      <c r="M134" s="2"/>
      <c r="N134" s="1"/>
      <c r="O134" s="6"/>
      <c r="P134" s="24"/>
      <c r="Q134" s="4"/>
      <c r="R134" s="1"/>
      <c r="S134" s="7"/>
      <c r="T134" s="1"/>
    </row>
    <row r="135" spans="1:20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3"/>
      <c r="M135" s="2"/>
      <c r="N135" s="1"/>
      <c r="O135" s="6"/>
      <c r="P135" s="24"/>
      <c r="Q135" s="4"/>
      <c r="R135" s="1"/>
      <c r="S135" s="7"/>
      <c r="T135" s="1"/>
    </row>
    <row r="136" spans="1:20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3"/>
      <c r="M136" s="2"/>
      <c r="N136" s="1"/>
      <c r="O136" s="6"/>
      <c r="P136" s="24"/>
      <c r="Q136" s="4"/>
      <c r="R136" s="1"/>
      <c r="S136" s="7"/>
      <c r="T136" s="1"/>
    </row>
    <row r="137" spans="1:20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3"/>
      <c r="M137" s="2"/>
      <c r="N137" s="1"/>
      <c r="O137" s="6"/>
      <c r="P137" s="24"/>
      <c r="Q137" s="4"/>
      <c r="R137" s="1"/>
      <c r="S137" s="7"/>
      <c r="T137" s="1"/>
    </row>
    <row r="138" spans="1:20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3"/>
      <c r="M138" s="2"/>
      <c r="N138" s="1"/>
      <c r="O138" s="6"/>
      <c r="P138" s="24"/>
      <c r="Q138" s="4"/>
      <c r="R138" s="1"/>
      <c r="S138" s="7"/>
      <c r="T138" s="1"/>
    </row>
    <row r="139" spans="1:20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3"/>
      <c r="M139" s="2"/>
      <c r="N139" s="1"/>
      <c r="O139" s="6"/>
      <c r="P139" s="24"/>
      <c r="Q139" s="4"/>
      <c r="R139" s="1"/>
      <c r="S139" s="7"/>
      <c r="T139" s="1"/>
    </row>
    <row r="140" spans="1:20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3"/>
      <c r="M140" s="2"/>
      <c r="N140" s="1"/>
      <c r="O140" s="6"/>
      <c r="P140" s="24"/>
      <c r="Q140" s="4"/>
      <c r="R140" s="1"/>
      <c r="S140" s="7"/>
      <c r="T140" s="1"/>
    </row>
    <row r="141" spans="1:20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3"/>
      <c r="M141" s="2"/>
      <c r="N141" s="1"/>
      <c r="O141" s="6"/>
      <c r="P141" s="24"/>
      <c r="Q141" s="4"/>
      <c r="R141" s="1"/>
      <c r="S141" s="7"/>
      <c r="T141" s="1"/>
    </row>
    <row r="142" spans="1:20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3"/>
      <c r="M142" s="2"/>
      <c r="N142" s="1"/>
      <c r="O142" s="6"/>
      <c r="P142" s="24"/>
      <c r="Q142" s="4"/>
      <c r="R142" s="1"/>
      <c r="S142" s="7"/>
      <c r="T142" s="1"/>
    </row>
    <row r="143" spans="1:20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3"/>
      <c r="M143" s="2"/>
      <c r="N143" s="1"/>
      <c r="O143" s="6"/>
      <c r="P143" s="24"/>
      <c r="Q143" s="4"/>
      <c r="R143" s="1"/>
      <c r="S143" s="7"/>
      <c r="T143" s="1"/>
    </row>
    <row r="144" spans="1:20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3"/>
      <c r="M144" s="2"/>
      <c r="N144" s="1"/>
      <c r="O144" s="6"/>
      <c r="P144" s="24"/>
      <c r="Q144" s="4"/>
      <c r="R144" s="1"/>
      <c r="S144" s="7"/>
      <c r="T144" s="1"/>
    </row>
    <row r="145" spans="1:20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3"/>
      <c r="M145" s="2"/>
      <c r="N145" s="1"/>
      <c r="O145" s="6"/>
      <c r="P145" s="24"/>
      <c r="Q145" s="4"/>
      <c r="R145" s="1"/>
      <c r="S145" s="7"/>
      <c r="T145" s="1"/>
    </row>
    <row r="146" spans="1:20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3"/>
      <c r="M146" s="2"/>
      <c r="N146" s="1"/>
      <c r="O146" s="6"/>
      <c r="P146" s="24"/>
      <c r="Q146" s="4"/>
      <c r="R146" s="1"/>
      <c r="S146" s="7"/>
      <c r="T146" s="1"/>
    </row>
    <row r="147" spans="1:20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3"/>
      <c r="M147" s="2"/>
      <c r="N147" s="1"/>
      <c r="O147" s="6"/>
      <c r="P147" s="24"/>
      <c r="Q147" s="4"/>
      <c r="R147" s="1"/>
      <c r="S147" s="7"/>
      <c r="T147" s="1"/>
    </row>
    <row r="148" spans="1:20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3"/>
      <c r="M148" s="2"/>
      <c r="N148" s="1"/>
      <c r="O148" s="6"/>
      <c r="P148" s="24"/>
      <c r="Q148" s="4"/>
      <c r="R148" s="1"/>
      <c r="S148" s="7"/>
      <c r="T148" s="1"/>
    </row>
    <row r="149" spans="1:20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3"/>
      <c r="M149" s="2"/>
      <c r="N149" s="1"/>
      <c r="O149" s="6"/>
      <c r="P149" s="24"/>
      <c r="Q149" s="4"/>
      <c r="R149" s="1"/>
      <c r="S149" s="7"/>
      <c r="T149" s="1"/>
    </row>
    <row r="150" spans="1:20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3"/>
      <c r="M150" s="2"/>
      <c r="N150" s="1"/>
      <c r="O150" s="6"/>
      <c r="P150" s="24"/>
      <c r="Q150" s="4"/>
      <c r="R150" s="1"/>
      <c r="S150" s="7"/>
      <c r="T150" s="1"/>
    </row>
    <row r="151" spans="1:20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3"/>
      <c r="M151" s="2"/>
      <c r="N151" s="1"/>
      <c r="O151" s="6"/>
      <c r="P151" s="24"/>
      <c r="Q151" s="4"/>
      <c r="R151" s="1"/>
      <c r="S151" s="7"/>
      <c r="T151" s="1"/>
    </row>
    <row r="152" spans="1:20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3"/>
      <c r="M152" s="2"/>
      <c r="N152" s="1"/>
      <c r="O152" s="6"/>
      <c r="P152" s="24"/>
      <c r="Q152" s="4"/>
      <c r="R152" s="1"/>
      <c r="S152" s="7"/>
      <c r="T152" s="1"/>
    </row>
    <row r="153" spans="1:20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3"/>
      <c r="M153" s="2"/>
      <c r="N153" s="1"/>
      <c r="O153" s="6"/>
      <c r="P153" s="24"/>
      <c r="Q153" s="4"/>
      <c r="R153" s="1"/>
      <c r="S153" s="7"/>
      <c r="T153" s="1"/>
    </row>
    <row r="154" spans="1:20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3"/>
      <c r="M154" s="2"/>
      <c r="N154" s="1"/>
      <c r="O154" s="6"/>
      <c r="P154" s="24"/>
      <c r="Q154" s="4"/>
      <c r="R154" s="1"/>
      <c r="S154" s="7"/>
      <c r="T154" s="1"/>
    </row>
    <row r="155" spans="1:20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3"/>
      <c r="M155" s="2"/>
      <c r="N155" s="1"/>
      <c r="O155" s="6"/>
      <c r="P155" s="24"/>
      <c r="Q155" s="4"/>
      <c r="R155" s="1"/>
      <c r="S155" s="7"/>
      <c r="T155" s="1"/>
    </row>
    <row r="156" spans="1:20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3"/>
      <c r="M156" s="2"/>
      <c r="N156" s="1"/>
      <c r="O156" s="6"/>
      <c r="P156" s="24"/>
      <c r="Q156" s="4"/>
      <c r="R156" s="1"/>
      <c r="S156" s="7"/>
      <c r="T156" s="1"/>
    </row>
    <row r="157" spans="1:20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3"/>
      <c r="M157" s="2"/>
      <c r="N157" s="1"/>
      <c r="O157" s="6"/>
      <c r="P157" s="24"/>
      <c r="Q157" s="4"/>
      <c r="R157" s="1"/>
      <c r="S157" s="7"/>
      <c r="T157" s="1"/>
    </row>
    <row r="158" spans="1:20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3"/>
      <c r="M158" s="2"/>
      <c r="N158" s="1"/>
      <c r="O158" s="6"/>
      <c r="P158" s="24"/>
      <c r="Q158" s="4"/>
      <c r="R158" s="1"/>
      <c r="S158" s="7"/>
      <c r="T158" s="1"/>
    </row>
    <row r="159" spans="1:20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3"/>
      <c r="M159" s="2"/>
      <c r="N159" s="1"/>
      <c r="O159" s="6"/>
      <c r="P159" s="24"/>
      <c r="Q159" s="4"/>
      <c r="R159" s="1"/>
      <c r="S159" s="7"/>
      <c r="T159" s="1"/>
    </row>
    <row r="160" spans="1:20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3"/>
      <c r="M160" s="2"/>
      <c r="N160" s="1"/>
      <c r="O160" s="6"/>
      <c r="P160" s="24"/>
      <c r="Q160" s="4"/>
      <c r="R160" s="1"/>
      <c r="S160" s="7"/>
      <c r="T160" s="1"/>
    </row>
    <row r="161" spans="1:20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3"/>
      <c r="M161" s="2"/>
      <c r="N161" s="1"/>
      <c r="O161" s="6"/>
      <c r="P161" s="24"/>
      <c r="Q161" s="4"/>
      <c r="R161" s="1"/>
      <c r="S161" s="7"/>
      <c r="T161" s="1"/>
    </row>
    <row r="162" spans="1:20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3"/>
      <c r="M162" s="2"/>
      <c r="N162" s="1"/>
      <c r="O162" s="6"/>
      <c r="P162" s="24"/>
      <c r="Q162" s="4"/>
      <c r="R162" s="1"/>
      <c r="S162" s="7"/>
      <c r="T162" s="1"/>
    </row>
    <row r="163" spans="1:20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3"/>
      <c r="M163" s="2"/>
      <c r="N163" s="1"/>
      <c r="O163" s="6"/>
      <c r="P163" s="24"/>
      <c r="Q163" s="4"/>
      <c r="R163" s="1"/>
      <c r="S163" s="7"/>
      <c r="T163" s="1"/>
    </row>
    <row r="164" spans="1:20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2"/>
      <c r="N164" s="1"/>
      <c r="O164" s="6"/>
      <c r="P164" s="24"/>
      <c r="Q164" s="4"/>
      <c r="R164" s="1"/>
      <c r="S164" s="7"/>
      <c r="T164" s="1"/>
    </row>
    <row r="165" spans="1:20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2"/>
      <c r="N165" s="1"/>
      <c r="O165" s="6"/>
      <c r="P165" s="24"/>
      <c r="Q165" s="4"/>
      <c r="R165" s="1"/>
      <c r="S165" s="7"/>
      <c r="T165" s="1"/>
    </row>
    <row r="166" spans="1:20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2"/>
      <c r="N166" s="1"/>
      <c r="O166" s="6"/>
      <c r="P166" s="24"/>
      <c r="Q166" s="4"/>
      <c r="R166" s="1"/>
      <c r="S166" s="7"/>
      <c r="T166" s="1"/>
    </row>
    <row r="167" spans="1:20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2"/>
      <c r="N167" s="1"/>
      <c r="O167" s="6"/>
      <c r="P167" s="24"/>
      <c r="Q167" s="4"/>
      <c r="R167" s="1"/>
      <c r="S167" s="7"/>
      <c r="T167" s="1"/>
    </row>
    <row r="168" spans="1:20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2"/>
      <c r="N168" s="1"/>
      <c r="O168" s="6"/>
      <c r="P168" s="24"/>
      <c r="Q168" s="4"/>
      <c r="R168" s="1"/>
      <c r="S168" s="7"/>
      <c r="T168" s="1"/>
    </row>
    <row r="169" spans="1:20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2"/>
      <c r="N169" s="1"/>
      <c r="O169" s="6"/>
      <c r="P169" s="24"/>
      <c r="Q169" s="4"/>
      <c r="R169" s="1"/>
      <c r="S169" s="7"/>
      <c r="T169" s="1"/>
    </row>
    <row r="170" spans="1:20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2"/>
      <c r="N170" s="1"/>
      <c r="O170" s="6"/>
      <c r="P170" s="24"/>
      <c r="Q170" s="4"/>
      <c r="R170" s="1"/>
      <c r="S170" s="7"/>
      <c r="T170" s="1"/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24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24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24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24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24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24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24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24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24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24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24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24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24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24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24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24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24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24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24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24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24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24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24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24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24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24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24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24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24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24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24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24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24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24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24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24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24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24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24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24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24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24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24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24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24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24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24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24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24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24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24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24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24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24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24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24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24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24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4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4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4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4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4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4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4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4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4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4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4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4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4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4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4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4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4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4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4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4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4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4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4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4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4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4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4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4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4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4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4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4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4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4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4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4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4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4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4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4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4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4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4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4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4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4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4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4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4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4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4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4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4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4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4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4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4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4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4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4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4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4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4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4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4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4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4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4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4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4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4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4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4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4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4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4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4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4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4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4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4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4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4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4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4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4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4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4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4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4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4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4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4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4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4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4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4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4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4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4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4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4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4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4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4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4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4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4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4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4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4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4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4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4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4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4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4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4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4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4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4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4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4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4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4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4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4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4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4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4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4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4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4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4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4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4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4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4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4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4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4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4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4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4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4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4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4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4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4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4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4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4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4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4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4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4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4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4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4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4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4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4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4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4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4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4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4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4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4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4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4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4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4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4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4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4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4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4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4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4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4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4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4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4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4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4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4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4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4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4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4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4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4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4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4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4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4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4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4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4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4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4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4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4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4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4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4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4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4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4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4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4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4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4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4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4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4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4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4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4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4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4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4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4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4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4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4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4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4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4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4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4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4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4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4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4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4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4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4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4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4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4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4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4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4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4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4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4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4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4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4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4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4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4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4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4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4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4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4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4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4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4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4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4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4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4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4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4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4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4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4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4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4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4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4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4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4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4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4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4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4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4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4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4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4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4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4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4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4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4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4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4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4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4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4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4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4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4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4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4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4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4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4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4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4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4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4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4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4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4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4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4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4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4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4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4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4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4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4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4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4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4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4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4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4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4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4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4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4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4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4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4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4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4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4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4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4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4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4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4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4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4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4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4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4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4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4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4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4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4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4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4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4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4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4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4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4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4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4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4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4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4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4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4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4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4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4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4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4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4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4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4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4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4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4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4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4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4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4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4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4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4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4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4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4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4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4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4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4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4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4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4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4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4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4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4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4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4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4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4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4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4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4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4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4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4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4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4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4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4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4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4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4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4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4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4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4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4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4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4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4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4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4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4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4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4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4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4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4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4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4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4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4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4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4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4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4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4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4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4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4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4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4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4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4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4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4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4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4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4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4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4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4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4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4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4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4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4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4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4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4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4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4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4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4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4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4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4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4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4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4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4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4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4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4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4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4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4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4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4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4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4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4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4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4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4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4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4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4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4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4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4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4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4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4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4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4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4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4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4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4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4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4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4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4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4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4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4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4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4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4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4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4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4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4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4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4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4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4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4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4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4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4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4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4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4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4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4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4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4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4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4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4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4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4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4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4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4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4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4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4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4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4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4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4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4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4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4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4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4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4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4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4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4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4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4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4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4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4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4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4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4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4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4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4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4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4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4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4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4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4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4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4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4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4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4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4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4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4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4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4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4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4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4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4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4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4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4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4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4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4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4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4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4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4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4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4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4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4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4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4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4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4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4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4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4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4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4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4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4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4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4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4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4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4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4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4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4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4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4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4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4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4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4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4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4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4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4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4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4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4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4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4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4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4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4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4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4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4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4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4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4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4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4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4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4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4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4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4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4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4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4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4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4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4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4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4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4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4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4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4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4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4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4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4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4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4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4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4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4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4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4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4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4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4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4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4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4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4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4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4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4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4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4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4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4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4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4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4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4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4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4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4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4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4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4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4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4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4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4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4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4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4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4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4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4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4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4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4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4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4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4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4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4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4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4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4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4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4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4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4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4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4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4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4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4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4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4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4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4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4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4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4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4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4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4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4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4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4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4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4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4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4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4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4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4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4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4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4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4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4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4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4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4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4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4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4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4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4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4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4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4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4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4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4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4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4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4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4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4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4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4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4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4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4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4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4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4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4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4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4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4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4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4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4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4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4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4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4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4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4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4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4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4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4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4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4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4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4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4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4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4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4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4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4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4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4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4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4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4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4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4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4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4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4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4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4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4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4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4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4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4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4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4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4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4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4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4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4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4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4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4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4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4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4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4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4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4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4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4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4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4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4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4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4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4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4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4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4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4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4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4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4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4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4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4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4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4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4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4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4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4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4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4"/>
      <c r="Q1092" s="4"/>
      <c r="R1092" s="1"/>
      <c r="S1092" s="7"/>
      <c r="T1092" s="1"/>
    </row>
    <row r="1093" spans="1:20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3"/>
      <c r="M1093" s="2"/>
      <c r="N1093" s="1"/>
      <c r="O1093" s="6"/>
      <c r="P1093" s="24"/>
      <c r="Q1093" s="4"/>
      <c r="R1093" s="1"/>
      <c r="S1093" s="7"/>
      <c r="T1093" s="1"/>
    </row>
    <row r="1094" spans="1:20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3"/>
      <c r="M1094" s="2"/>
      <c r="N1094" s="1"/>
      <c r="O1094" s="6"/>
      <c r="P1094" s="24"/>
      <c r="Q1094" s="4"/>
      <c r="R1094" s="1"/>
      <c r="S1094" s="7"/>
      <c r="T1094" s="1"/>
    </row>
    <row r="1095" spans="1:20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3"/>
      <c r="M1095" s="2"/>
      <c r="N1095" s="1"/>
      <c r="O1095" s="6"/>
      <c r="P1095" s="24"/>
      <c r="Q1095" s="4"/>
      <c r="R1095" s="1"/>
      <c r="S1095" s="7"/>
      <c r="T1095" s="1"/>
    </row>
    <row r="1096" spans="1:20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3"/>
      <c r="M1096" s="2"/>
      <c r="N1096" s="1"/>
      <c r="O1096" s="6"/>
      <c r="P1096" s="24"/>
      <c r="Q1096" s="4"/>
      <c r="R1096" s="1"/>
      <c r="S1096" s="7"/>
      <c r="T1096" s="1"/>
    </row>
  </sheetData>
  <phoneticPr fontId="1" type="noConversion"/>
  <conditionalFormatting sqref="R2:T1096">
    <cfRule type="expression" dxfId="23" priority="1">
      <formula>$T2="Sin referencia"</formula>
    </cfRule>
    <cfRule type="expression" dxfId="22" priority="2">
      <formula>$T2="No llega"</formula>
    </cfRule>
    <cfRule type="expression" dxfId="21" priority="3">
      <formula>$T2="Empeora"</formula>
    </cfRule>
    <cfRule type="expression" dxfId="20" priority="4">
      <formula>$T2="Mejora"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opLeftCell="E1" zoomScale="55" zoomScaleNormal="55" workbookViewId="0">
      <selection activeCell="K17" sqref="K17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2.44140625" bestFit="1" customWidth="1"/>
    <col min="15" max="15" width="15.6640625" bestFit="1" customWidth="1"/>
    <col min="17" max="17" width="16.88671875" bestFit="1" customWidth="1"/>
    <col min="18" max="18" width="17.77734375" bestFit="1" customWidth="1"/>
    <col min="20" max="20" width="9.6640625" bestFit="1" customWidth="1"/>
    <col min="21" max="21" width="18.664062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38</v>
      </c>
      <c r="L1" s="17" t="s">
        <v>34</v>
      </c>
      <c r="N1" s="17" t="s">
        <v>46</v>
      </c>
      <c r="O1" s="17" t="s">
        <v>34</v>
      </c>
      <c r="Q1" s="17" t="s">
        <v>47</v>
      </c>
      <c r="R1" s="17" t="s">
        <v>34</v>
      </c>
      <c r="T1" s="17" t="s">
        <v>32</v>
      </c>
      <c r="U1" s="17" t="s">
        <v>39</v>
      </c>
    </row>
    <row r="2" spans="1:38" ht="15.6" thickTop="1" thickBot="1" x14ac:dyDescent="0.35">
      <c r="A2" s="1" t="str" cm="1">
        <f t="array" ref="A2:A46">"Prueba "&amp;_xlfn.SEQUENCE(ROWS(_xlfn.ANCHORARRAY(B2)))</f>
        <v>Prueba 1</v>
      </c>
      <c r="B2" s="19" t="str" cm="1">
        <f t="array" ref="B2:B46">_xlfn._xlws.FILTER(emergency_results!$M$2:$M$1057,(emergency_results!$A$2:$A$1057="inteligente")*(emergency_results!$K$2:$K$1057=TRUE)*(emergency_results!$Q$2:$Q$1057&lt;&gt;""))</f>
        <v>238829520 -&gt; 5989317 | t=250 | 24/05/2026 11:45</v>
      </c>
      <c r="C2" s="1" cm="1">
        <f t="array" ref="C2:C46">_xlfn._xlws.FILTER(emergency_results!$Q$2:$Q$1057,(emergency_results!$A$2:$A$1057="inteligente")*(emergency_results!$K$2:$K$1057=TRUE)*(emergency_results!$Q$2:$Q$1057&lt;&gt;""))*86400</f>
        <v>236</v>
      </c>
      <c r="D2" s="1" cm="1">
        <f t="array" ref="D2:D46">_xlfn._xlws.FILTER(emergency_results!$F$2:$F$1057,(emergency_results!$A$2:$A$1057="inteligente")*(emergency_results!$K$2:$K$1057=TRUE)*(emergency_results!$Q$2:$Q$1057&lt;&gt;""))</f>
        <v>158</v>
      </c>
      <c r="E2" s="18">
        <f>IF(OR(C2="",D2=""),"",C2-D2)</f>
        <v>78</v>
      </c>
      <c r="F2" s="7" cm="1">
        <f t="array" ref="F2:F46">_xlfn._xlws.FILTER(emergency_results!$S$2:$S$1057,(emergency_results!$A$2:$A$1057="inteligente")*(emergency_results!$K$2:$K$1057=TRUE)*(emergency_results!$Q$2:$Q$1057&lt;&gt;""))</f>
        <v>0.33050847457627119</v>
      </c>
      <c r="G2" s="1" cm="1">
        <f t="array" ref="G2:G46">_xlfn._xlws.FILTER(emergency_results!$O$2:$O$1057,(emergency_results!$A$2:$A$1057="inteligente")*(emergency_results!$K$2:$K$1057=TRUE)*(emergency_results!$Q$2:$Q$1057&lt;&gt;""))</f>
        <v>42.184800000000003</v>
      </c>
      <c r="H2" s="1" cm="1">
        <f t="array" ref="H2:H46">_xlfn._xlws.FILTER(emergency_results!$J$2:$J$1057,(emergency_results!$A$2:$A$1057="inteligente")*(emergency_results!$K$2:$K$1057=TRUE)*(emergency_results!$Q$2:$Q$1057&lt;&gt;""))</f>
        <v>3</v>
      </c>
      <c r="I2" s="1" t="str" cm="1">
        <f t="array" ref="I2:I46">_xlfn._xlws.FILTER(emergency_results!$T$2:$T$1057,(emergency_results!$A$2:$A$1057="inteligente")*(emergency_results!$K$2:$K$1057=TRUE)*(emergency_results!$Q$2:$Q$1057&lt;&gt;""))</f>
        <v>Mejora</v>
      </c>
      <c r="K2" s="17" t="s">
        <v>35</v>
      </c>
      <c r="L2" s="18">
        <f>AVERAGE(_xlfn.ANCHORARRAY(C2))</f>
        <v>256.9111111111111</v>
      </c>
      <c r="N2" s="17" t="s">
        <v>35</v>
      </c>
      <c r="O2" s="18">
        <f>AVERAGE(C21:C40)</f>
        <v>201.7</v>
      </c>
      <c r="Q2" s="17" t="s">
        <v>35</v>
      </c>
      <c r="R2" s="18">
        <f>AVERAGE(C2:C21)</f>
        <v>306.35000000000002</v>
      </c>
      <c r="T2" s="17" t="s">
        <v>40</v>
      </c>
      <c r="U2" s="18">
        <f>COUNTIF(_xlfn.ANCHORARRAY($I$2),"Mejora")</f>
        <v>41</v>
      </c>
    </row>
    <row r="3" spans="1:38" ht="15.6" thickTop="1" thickBot="1" x14ac:dyDescent="0.35">
      <c r="A3" s="1" t="str">
        <v>Prueba 2</v>
      </c>
      <c r="B3" s="19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36</v>
      </c>
      <c r="L3" s="18">
        <f>AVERAGE(_xlfn.ANCHORARRAY(D2))</f>
        <v>208.71111111111111</v>
      </c>
      <c r="N3" s="17" t="s">
        <v>36</v>
      </c>
      <c r="O3" s="18">
        <f>AVERAGE(D21:D40)</f>
        <v>136.44999999999999</v>
      </c>
      <c r="Q3" s="17" t="s">
        <v>36</v>
      </c>
      <c r="R3" s="18">
        <f>AVERAGE(D2:D21)</f>
        <v>265</v>
      </c>
      <c r="T3" s="17" t="s">
        <v>41</v>
      </c>
      <c r="U3" s="18">
        <f>COUNTIF(_xlfn.ANCHORARRAY($I$2),"Empeora")</f>
        <v>3</v>
      </c>
    </row>
    <row r="4" spans="1:38" ht="15.6" thickTop="1" thickBot="1" x14ac:dyDescent="0.35">
      <c r="A4" s="1" t="str">
        <v>Prueba 3</v>
      </c>
      <c r="B4" s="19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T4" s="17" t="s">
        <v>42</v>
      </c>
      <c r="U4" s="18">
        <f>COUNTIF(_xlfn.ANCHORARRAY($I$2),"Igual")</f>
        <v>1</v>
      </c>
    </row>
    <row r="5" spans="1:38" ht="15" thickTop="1" x14ac:dyDescent="0.3">
      <c r="A5" s="1" t="str">
        <v>Prueba 4</v>
      </c>
      <c r="B5" s="19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9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9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9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9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9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9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9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37</v>
      </c>
    </row>
    <row r="13" spans="1:38" x14ac:dyDescent="0.3">
      <c r="A13" s="1" t="str">
        <v>Prueba 12</v>
      </c>
      <c r="B13" s="19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9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9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9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12" x14ac:dyDescent="0.3">
      <c r="A17" s="1" t="str">
        <v>Prueba 16</v>
      </c>
      <c r="B17" s="19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12" x14ac:dyDescent="0.3">
      <c r="A18" s="1" t="str">
        <v>Prueba 17</v>
      </c>
      <c r="B18" s="19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12" x14ac:dyDescent="0.3">
      <c r="A19" s="1" t="str">
        <v>Prueba 18</v>
      </c>
      <c r="B19" s="19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12" x14ac:dyDescent="0.3">
      <c r="A20" s="1" t="str">
        <v>Prueba 19</v>
      </c>
      <c r="B20" s="19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12" x14ac:dyDescent="0.3">
      <c r="A21" s="1" t="str">
        <v>Prueba 20</v>
      </c>
      <c r="B21" s="19" t="str">
        <v>238829520 -&gt; 5990070#1 | t=500 | 24/05/2026 20:52</v>
      </c>
      <c r="C21" s="1">
        <v>200</v>
      </c>
      <c r="D21" s="1">
        <v>164</v>
      </c>
      <c r="E21" s="18">
        <f t="shared" si="0"/>
        <v>36</v>
      </c>
      <c r="F21" s="7">
        <v>0.17999999999999994</v>
      </c>
      <c r="G21" s="1">
        <v>33.260400000000004</v>
      </c>
      <c r="H21" s="1">
        <v>5</v>
      </c>
      <c r="I21" s="1" t="str">
        <v>Mejora</v>
      </c>
      <c r="K21" s="26" t="s">
        <v>44</v>
      </c>
      <c r="L21" s="26" t="s">
        <v>43</v>
      </c>
    </row>
    <row r="22" spans="1:12" x14ac:dyDescent="0.3">
      <c r="A22" s="1" t="str">
        <v>Prueba 21</v>
      </c>
      <c r="B22" s="19" t="str">
        <v>238829520 -&gt; 5990070#1 | t=500 | 24/05/2026 22:05</v>
      </c>
      <c r="C22" s="1">
        <v>199</v>
      </c>
      <c r="D22" s="1">
        <v>131</v>
      </c>
      <c r="E22" s="18">
        <f t="shared" si="0"/>
        <v>68</v>
      </c>
      <c r="F22" s="7">
        <v>0.34170854271356788</v>
      </c>
      <c r="G22" s="1">
        <v>41.6556</v>
      </c>
      <c r="H22" s="1">
        <v>1</v>
      </c>
      <c r="I22" s="1" t="str">
        <v>Mejora</v>
      </c>
      <c r="K22" s="26"/>
      <c r="L22" s="26"/>
    </row>
    <row r="23" spans="1:12" x14ac:dyDescent="0.3">
      <c r="A23" s="1" t="str">
        <v>Prueba 22</v>
      </c>
      <c r="B23" s="1" t="str">
        <v>238829520 -&gt; 5990070#1 | t=500 | 25/05/2026 00:20</v>
      </c>
      <c r="C23" s="1">
        <v>200</v>
      </c>
      <c r="D23" s="1">
        <v>134</v>
      </c>
      <c r="E23" s="18">
        <f t="shared" si="0"/>
        <v>66</v>
      </c>
      <c r="F23" s="7">
        <v>0.33</v>
      </c>
      <c r="G23" s="1">
        <v>40.885199999999998</v>
      </c>
      <c r="H23" s="1">
        <v>1</v>
      </c>
      <c r="I23" s="1" t="str">
        <v>Mejora</v>
      </c>
      <c r="K23" s="26"/>
      <c r="L23" s="26"/>
    </row>
    <row r="24" spans="1:12" x14ac:dyDescent="0.3">
      <c r="A24" s="1" t="str">
        <v>Prueba 23</v>
      </c>
      <c r="B24" s="1" t="str">
        <v>238829520 -&gt; 5990070#1 | t=500 | 25/05/2026 00:30</v>
      </c>
      <c r="C24" s="1">
        <v>199</v>
      </c>
      <c r="D24" s="1">
        <v>134</v>
      </c>
      <c r="E24" s="18">
        <f t="shared" si="0"/>
        <v>65</v>
      </c>
      <c r="F24" s="7">
        <v>0.32663316582914576</v>
      </c>
      <c r="G24" s="1">
        <v>40.813200000000002</v>
      </c>
      <c r="H24" s="1">
        <v>1</v>
      </c>
      <c r="I24" s="1" t="str">
        <v>Mejora</v>
      </c>
      <c r="K24" s="26"/>
      <c r="L24" s="26"/>
    </row>
    <row r="25" spans="1:12" x14ac:dyDescent="0.3">
      <c r="A25" s="1" t="str">
        <v>Prueba 24</v>
      </c>
      <c r="B25" s="1" t="str">
        <v>238829520 -&gt; 5990070#1 | t=500 | 25/05/2026 00:45</v>
      </c>
      <c r="C25" s="1">
        <v>199</v>
      </c>
      <c r="D25" s="1">
        <v>135</v>
      </c>
      <c r="E25" s="18">
        <f t="shared" si="0"/>
        <v>64</v>
      </c>
      <c r="F25" s="7">
        <v>0.32160804020100497</v>
      </c>
      <c r="G25" s="1">
        <v>40.428000000000004</v>
      </c>
      <c r="H25" s="1">
        <v>1</v>
      </c>
      <c r="I25" s="1" t="str">
        <v>Mejora</v>
      </c>
      <c r="K25" s="26"/>
      <c r="L25" s="26"/>
    </row>
    <row r="26" spans="1:12" x14ac:dyDescent="0.3">
      <c r="A26" s="1" t="str">
        <v>Prueba 25</v>
      </c>
      <c r="B26" s="1" t="str">
        <v>238829520 -&gt; 5990070#1 | t=500 | 25/05/2026 00:55</v>
      </c>
      <c r="C26" s="1">
        <v>199</v>
      </c>
      <c r="D26" s="1">
        <v>127</v>
      </c>
      <c r="E26" s="18">
        <f t="shared" si="0"/>
        <v>72</v>
      </c>
      <c r="F26" s="7">
        <v>0.36180904522613067</v>
      </c>
      <c r="G26" s="1">
        <v>40.510800000000003</v>
      </c>
      <c r="H26" s="1">
        <v>2</v>
      </c>
      <c r="I26" s="1" t="str">
        <v>Mejora</v>
      </c>
      <c r="K26" s="26"/>
      <c r="L26" s="26"/>
    </row>
    <row r="27" spans="1:12" x14ac:dyDescent="0.3">
      <c r="A27" s="1" t="str">
        <v>Prueba 26</v>
      </c>
      <c r="B27" s="1" t="str">
        <v>238829520 -&gt; 5990070#1 | t=500 | 25/05/2026 01:10</v>
      </c>
      <c r="C27" s="1">
        <v>200</v>
      </c>
      <c r="D27" s="1">
        <v>123</v>
      </c>
      <c r="E27" s="18">
        <f t="shared" si="0"/>
        <v>77</v>
      </c>
      <c r="F27" s="7">
        <v>0.38499999999999995</v>
      </c>
      <c r="G27" s="1">
        <v>44.463600000000007</v>
      </c>
      <c r="H27" s="1">
        <v>3</v>
      </c>
      <c r="I27" s="1" t="str">
        <v>Mejora</v>
      </c>
      <c r="K27" s="26"/>
      <c r="L27" s="26"/>
    </row>
    <row r="28" spans="1:12" x14ac:dyDescent="0.3">
      <c r="A28" s="1" t="str">
        <v>Prueba 27</v>
      </c>
      <c r="B28" s="1" t="str">
        <v>238829520 -&gt; 5990070#1 | t=500 | 25/05/2026 01:30</v>
      </c>
      <c r="C28" s="1">
        <v>200.99999999999997</v>
      </c>
      <c r="D28" s="1">
        <v>134</v>
      </c>
      <c r="E28" s="18">
        <f t="shared" si="0"/>
        <v>66.999999999999972</v>
      </c>
      <c r="F28" s="7">
        <v>0.33333333333333331</v>
      </c>
      <c r="G28" s="1">
        <v>40.7196</v>
      </c>
      <c r="H28" s="1">
        <v>1</v>
      </c>
      <c r="I28" s="1" t="str">
        <v>Mejora</v>
      </c>
      <c r="K28" s="26"/>
      <c r="L28" s="26"/>
    </row>
    <row r="29" spans="1:12" x14ac:dyDescent="0.3">
      <c r="A29" s="1" t="str">
        <v>Prueba 28</v>
      </c>
      <c r="B29" s="1" t="str">
        <v>238829520 -&gt; 5990070#1 | t=500 | 25/05/2026 08:45</v>
      </c>
      <c r="C29" s="1">
        <v>204</v>
      </c>
      <c r="D29" s="1">
        <v>133</v>
      </c>
      <c r="E29" s="18">
        <f t="shared" si="0"/>
        <v>71</v>
      </c>
      <c r="F29" s="7">
        <v>0.34803921568627449</v>
      </c>
      <c r="G29" s="1">
        <v>41.083200000000005</v>
      </c>
      <c r="H29" s="1">
        <v>1</v>
      </c>
      <c r="I29" s="1" t="str">
        <v>Mejora</v>
      </c>
      <c r="K29" s="26"/>
      <c r="L29" s="26"/>
    </row>
    <row r="30" spans="1:12" x14ac:dyDescent="0.3">
      <c r="A30" s="1" t="str">
        <v>Prueba 29</v>
      </c>
      <c r="B30" s="1" t="str">
        <v>238829520 -&gt; 5990070#1 | t=500 | 25/05/2026 11:15</v>
      </c>
      <c r="C30" s="1">
        <v>204</v>
      </c>
      <c r="D30" s="1">
        <v>168</v>
      </c>
      <c r="E30" s="18">
        <f t="shared" si="0"/>
        <v>36</v>
      </c>
      <c r="F30" s="7">
        <v>0.17647058823529416</v>
      </c>
      <c r="G30" s="1">
        <v>32.472000000000001</v>
      </c>
      <c r="H30" s="1">
        <v>1</v>
      </c>
      <c r="I30" s="1" t="str">
        <v>Mejora</v>
      </c>
      <c r="K30" s="26"/>
      <c r="L30" s="26"/>
    </row>
    <row r="31" spans="1:12" x14ac:dyDescent="0.3">
      <c r="A31" s="1" t="str">
        <v>Prueba 30</v>
      </c>
      <c r="B31" s="1" t="str">
        <v>238829520 -&gt; 5990070#1 | t=500 | 25/05/2026 12:10</v>
      </c>
      <c r="C31" s="1">
        <v>200.99999999999997</v>
      </c>
      <c r="D31" s="1">
        <v>129</v>
      </c>
      <c r="E31" s="18">
        <f t="shared" si="0"/>
        <v>71.999999999999972</v>
      </c>
      <c r="F31" s="7">
        <v>0.35820895522388052</v>
      </c>
      <c r="G31" s="1">
        <v>42.422400000000003</v>
      </c>
      <c r="H31" s="1">
        <v>3</v>
      </c>
      <c r="I31" s="1" t="str">
        <v>Mejora</v>
      </c>
      <c r="K31" s="26"/>
      <c r="L31" s="26"/>
    </row>
    <row r="32" spans="1:12" x14ac:dyDescent="0.3">
      <c r="A32" s="1" t="str">
        <v>Prueba 31</v>
      </c>
      <c r="B32" s="1" t="str">
        <v>238829520 -&gt; 5990070#1 | t=500 | 25/05/2026 13:00</v>
      </c>
      <c r="C32" s="1">
        <v>200.99999999999997</v>
      </c>
      <c r="D32" s="1">
        <v>145</v>
      </c>
      <c r="E32" s="18">
        <f t="shared" si="0"/>
        <v>55.999999999999972</v>
      </c>
      <c r="F32" s="7">
        <v>0.27860696517412925</v>
      </c>
      <c r="G32" s="1">
        <v>37.681200000000004</v>
      </c>
      <c r="H32" s="1">
        <v>2</v>
      </c>
      <c r="I32" s="1" t="str">
        <v>Mejora</v>
      </c>
      <c r="K32" s="26"/>
      <c r="L32" s="26"/>
    </row>
    <row r="33" spans="1:12" x14ac:dyDescent="0.3">
      <c r="A33" s="1" t="str">
        <v>Prueba 32</v>
      </c>
      <c r="B33" s="1" t="str">
        <v>238829520 -&gt; 5990070#1 | t=500 | 25/05/2026 13:25</v>
      </c>
      <c r="C33" s="1">
        <v>205</v>
      </c>
      <c r="D33" s="1">
        <v>132</v>
      </c>
      <c r="E33" s="18">
        <f t="shared" si="0"/>
        <v>73</v>
      </c>
      <c r="F33" s="7">
        <v>0.35609756097560968</v>
      </c>
      <c r="G33" s="1">
        <v>41.234400000000001</v>
      </c>
      <c r="H33" s="1">
        <v>1</v>
      </c>
      <c r="I33" s="1" t="str">
        <v>Mejora</v>
      </c>
      <c r="K33" s="26"/>
      <c r="L33" s="26"/>
    </row>
    <row r="34" spans="1:12" x14ac:dyDescent="0.3">
      <c r="A34" s="1" t="str">
        <v>Prueba 33</v>
      </c>
      <c r="B34" s="1" t="str">
        <v>238829520 -&gt; 5990070#1 | t=500 | 25/05/2026 14:00</v>
      </c>
      <c r="C34" s="1">
        <v>200</v>
      </c>
      <c r="D34" s="1">
        <v>141</v>
      </c>
      <c r="E34" s="18">
        <f t="shared" si="0"/>
        <v>59</v>
      </c>
      <c r="F34" s="7">
        <v>0.29499999999999993</v>
      </c>
      <c r="G34" s="1">
        <v>38.498400000000004</v>
      </c>
      <c r="H34" s="1">
        <v>1</v>
      </c>
      <c r="I34" s="1" t="str">
        <v>Mejora</v>
      </c>
      <c r="K34" s="26"/>
      <c r="L34" s="26"/>
    </row>
    <row r="35" spans="1:12" x14ac:dyDescent="0.3">
      <c r="A35" s="1" t="str">
        <v>Prueba 34</v>
      </c>
      <c r="B35" s="1" t="str">
        <v>238829520 -&gt; 5990070#1 | t=500 | 25/05/2026 17:25</v>
      </c>
      <c r="C35" s="1">
        <v>200</v>
      </c>
      <c r="D35" s="1">
        <v>151</v>
      </c>
      <c r="E35" s="18">
        <f t="shared" si="0"/>
        <v>49</v>
      </c>
      <c r="F35" s="7">
        <v>0.24499999999999994</v>
      </c>
      <c r="G35" s="1">
        <v>36.187199999999997</v>
      </c>
      <c r="H35" s="1">
        <v>3</v>
      </c>
      <c r="I35" s="1" t="str">
        <v>Mejora</v>
      </c>
      <c r="K35" s="26"/>
      <c r="L35" s="26"/>
    </row>
    <row r="36" spans="1:12" x14ac:dyDescent="0.3">
      <c r="A36" s="1" t="str">
        <v>Prueba 35</v>
      </c>
      <c r="B36" s="1" t="str">
        <v>238829520 -&gt; 5990070#1 | t=500 | 25/05/2026 18:05</v>
      </c>
      <c r="C36" s="1">
        <v>199</v>
      </c>
      <c r="D36" s="1">
        <v>128</v>
      </c>
      <c r="E36" s="18">
        <f t="shared" si="0"/>
        <v>71</v>
      </c>
      <c r="F36" s="7">
        <v>0.35678391959798994</v>
      </c>
      <c r="G36" s="1">
        <v>42.7896</v>
      </c>
      <c r="H36" s="1">
        <v>1</v>
      </c>
      <c r="I36" s="1" t="str">
        <v>Mejora</v>
      </c>
      <c r="K36" s="26"/>
      <c r="L36" s="26"/>
    </row>
    <row r="37" spans="1:12" x14ac:dyDescent="0.3">
      <c r="A37" s="1" t="str">
        <v>Prueba 36</v>
      </c>
      <c r="B37" s="1" t="str">
        <v>238829520 -&gt; 5990070#1 | t=500 | 25/05/2026 18:15</v>
      </c>
      <c r="C37" s="1">
        <v>220.00000000000003</v>
      </c>
      <c r="D37" s="1">
        <v>130</v>
      </c>
      <c r="E37" s="18">
        <f t="shared" si="0"/>
        <v>90.000000000000028</v>
      </c>
      <c r="F37" s="7">
        <v>0.40909090909090912</v>
      </c>
      <c r="G37" s="1">
        <v>42.022800000000004</v>
      </c>
      <c r="H37" s="1">
        <v>1</v>
      </c>
      <c r="I37" s="1" t="str">
        <v>Mejora</v>
      </c>
      <c r="K37" s="26"/>
      <c r="L37" s="26"/>
    </row>
    <row r="38" spans="1:12" x14ac:dyDescent="0.3">
      <c r="A38" s="1" t="str">
        <v>Prueba 37</v>
      </c>
      <c r="B38" s="1" t="str">
        <v>238829520 -&gt; 5990070#1 | t=500 | 25/05/2026 18:20</v>
      </c>
      <c r="C38" s="1">
        <v>200</v>
      </c>
      <c r="D38" s="1">
        <v>130</v>
      </c>
      <c r="E38" s="18">
        <f t="shared" si="0"/>
        <v>70</v>
      </c>
      <c r="F38" s="7">
        <v>0.35</v>
      </c>
      <c r="G38" s="1">
        <v>42.022800000000004</v>
      </c>
      <c r="H38" s="1">
        <v>1</v>
      </c>
      <c r="I38" s="1" t="str">
        <v>Mejora</v>
      </c>
      <c r="K38" s="26"/>
      <c r="L38" s="26"/>
    </row>
    <row r="39" spans="1:12" x14ac:dyDescent="0.3">
      <c r="A39" s="1" t="str">
        <v>Prueba 38</v>
      </c>
      <c r="B39" s="1" t="str">
        <v>238829520 -&gt; 5990070#1 | t=500 | 25/05/2026 18:25</v>
      </c>
      <c r="C39" s="1">
        <v>204</v>
      </c>
      <c r="D39" s="1">
        <v>136</v>
      </c>
      <c r="E39" s="18">
        <f t="shared" si="0"/>
        <v>68</v>
      </c>
      <c r="F39" s="7">
        <v>0.33333333333333331</v>
      </c>
      <c r="G39" s="1">
        <v>40.266000000000005</v>
      </c>
      <c r="H39" s="1">
        <v>1</v>
      </c>
      <c r="I39" s="1" t="str">
        <v>Mejora</v>
      </c>
      <c r="K39" s="26"/>
      <c r="L39" s="26"/>
    </row>
    <row r="40" spans="1:12" x14ac:dyDescent="0.3">
      <c r="A40" s="1" t="str">
        <v>Prueba 39</v>
      </c>
      <c r="B40" s="1" t="str">
        <v>238829520 -&gt; 5990070#1 | t=500 | 25/05/2026 18:35</v>
      </c>
      <c r="C40" s="1">
        <v>199</v>
      </c>
      <c r="D40" s="1">
        <v>124</v>
      </c>
      <c r="E40" s="18">
        <f t="shared" si="0"/>
        <v>75</v>
      </c>
      <c r="F40" s="7">
        <v>0.37688442211055273</v>
      </c>
      <c r="G40" s="1">
        <v>44.1252</v>
      </c>
      <c r="H40" s="1">
        <v>3</v>
      </c>
      <c r="I40" s="1" t="str">
        <v>Mejora</v>
      </c>
      <c r="K40" s="26" t="s">
        <v>45</v>
      </c>
      <c r="L40" s="26" t="s">
        <v>43</v>
      </c>
    </row>
    <row r="41" spans="1:12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</row>
    <row r="42" spans="1:12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</row>
    <row r="43" spans="1:12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</row>
    <row r="44" spans="1:12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</row>
    <row r="45" spans="1:12" x14ac:dyDescent="0.3">
      <c r="A45" s="1" t="str">
        <v>Prueba 44</v>
      </c>
      <c r="B45" s="1" t="str">
        <v>238829520 -&gt; 5990070#1 | t=500 | 09/06/2026 13:30</v>
      </c>
      <c r="C45" s="1">
        <v>292</v>
      </c>
      <c r="D45" s="1">
        <v>201</v>
      </c>
      <c r="E45" s="18">
        <f t="shared" si="0"/>
        <v>91</v>
      </c>
      <c r="F45" s="7">
        <v>0.31164383561643838</v>
      </c>
      <c r="G45" s="1">
        <v>27.043199999999999</v>
      </c>
      <c r="H45" s="1">
        <v>3</v>
      </c>
      <c r="I45" s="1" t="str">
        <v>Mejora</v>
      </c>
    </row>
    <row r="46" spans="1:12" x14ac:dyDescent="0.3">
      <c r="A46" s="1" t="str">
        <v>Prueba 45</v>
      </c>
      <c r="B46" s="1" t="str">
        <v>238829520 -&gt; 5990070#1 | t=500 | 11/07/2026 18:50</v>
      </c>
      <c r="C46" s="1">
        <v>200</v>
      </c>
      <c r="D46" s="1">
        <v>137</v>
      </c>
      <c r="E46" s="18">
        <f t="shared" si="0"/>
        <v>63</v>
      </c>
      <c r="F46" s="7">
        <v>0.315</v>
      </c>
      <c r="G46" s="1">
        <v>39.873600000000003</v>
      </c>
      <c r="H46" s="1">
        <v>1</v>
      </c>
      <c r="I46" s="1" t="str">
        <v>Mejora</v>
      </c>
    </row>
    <row r="47" spans="1:12" x14ac:dyDescent="0.3">
      <c r="A47" s="1"/>
      <c r="B47" s="1"/>
      <c r="C47" s="1"/>
      <c r="D47" s="1"/>
      <c r="E47" s="18" t="str">
        <f t="shared" si="0"/>
        <v/>
      </c>
      <c r="F47" s="7"/>
      <c r="G47" s="1"/>
      <c r="H47" s="1"/>
      <c r="I47" s="1"/>
    </row>
    <row r="48" spans="1:12" x14ac:dyDescent="0.3">
      <c r="A48" s="1"/>
      <c r="B48" s="1"/>
      <c r="C48" s="1"/>
      <c r="D48" s="1"/>
      <c r="E48" s="18" t="str">
        <f t="shared" si="0"/>
        <v/>
      </c>
      <c r="F48" s="7"/>
      <c r="G48" s="1"/>
      <c r="H48" s="1"/>
      <c r="I48" s="1"/>
    </row>
    <row r="49" spans="1:9" x14ac:dyDescent="0.3">
      <c r="A49" s="1"/>
      <c r="B49" s="1"/>
      <c r="C49" s="1"/>
      <c r="D49" s="1"/>
      <c r="E49" s="18" t="str">
        <f t="shared" si="0"/>
        <v/>
      </c>
      <c r="F49" s="7"/>
      <c r="G49" s="1"/>
      <c r="H49" s="1"/>
      <c r="I49" s="1"/>
    </row>
    <row r="50" spans="1:9" x14ac:dyDescent="0.3">
      <c r="A50" s="1"/>
      <c r="B50" s="1"/>
      <c r="C50" s="1"/>
      <c r="D50" s="1"/>
      <c r="E50" s="18" t="str">
        <f t="shared" si="0"/>
        <v/>
      </c>
      <c r="F50" s="7"/>
      <c r="G50" s="1"/>
      <c r="H50" s="1"/>
      <c r="I50" s="1"/>
    </row>
    <row r="51" spans="1:9" x14ac:dyDescent="0.3">
      <c r="A51" s="1"/>
      <c r="B51" s="1"/>
      <c r="C51" s="1"/>
      <c r="D51" s="1"/>
      <c r="E51" s="18" t="str">
        <f t="shared" si="0"/>
        <v/>
      </c>
      <c r="F51" s="7"/>
      <c r="G51" s="1"/>
      <c r="H51" s="1"/>
      <c r="I51" s="1"/>
    </row>
    <row r="52" spans="1:9" x14ac:dyDescent="0.3">
      <c r="A52" s="1"/>
      <c r="B52" s="1"/>
      <c r="C52" s="1"/>
      <c r="D52" s="1"/>
      <c r="E52" s="18" t="str">
        <f t="shared" si="0"/>
        <v/>
      </c>
      <c r="F52" s="7"/>
      <c r="G52" s="1"/>
      <c r="H52" s="1"/>
      <c r="I52" s="1"/>
    </row>
    <row r="53" spans="1:9" x14ac:dyDescent="0.3">
      <c r="A53" s="1"/>
      <c r="B53" s="1"/>
      <c r="C53" s="1"/>
      <c r="D53" s="1"/>
      <c r="E53" s="18" t="str">
        <f t="shared" si="0"/>
        <v/>
      </c>
      <c r="F53" s="7"/>
      <c r="G53" s="1"/>
      <c r="H53" s="1"/>
      <c r="I53" s="1"/>
    </row>
    <row r="54" spans="1:9" x14ac:dyDescent="0.3">
      <c r="A54" s="1"/>
      <c r="B54" s="1"/>
      <c r="C54" s="1"/>
      <c r="D54" s="1"/>
      <c r="E54" s="18" t="str">
        <f t="shared" si="0"/>
        <v/>
      </c>
      <c r="F54" s="7"/>
      <c r="G54" s="1"/>
      <c r="H54" s="1"/>
      <c r="I54" s="1"/>
    </row>
    <row r="55" spans="1:9" x14ac:dyDescent="0.3">
      <c r="A55" s="1"/>
      <c r="B55" s="1"/>
      <c r="C55" s="1"/>
      <c r="D55" s="1"/>
      <c r="E55" s="18" t="str">
        <f t="shared" si="0"/>
        <v/>
      </c>
      <c r="F55" s="7"/>
      <c r="G55" s="1"/>
      <c r="H55" s="1"/>
      <c r="I55" s="1"/>
    </row>
    <row r="56" spans="1:9" x14ac:dyDescent="0.3">
      <c r="A56" s="1"/>
      <c r="B56" s="1"/>
      <c r="C56" s="1"/>
      <c r="D56" s="1"/>
      <c r="E56" s="18" t="str">
        <f t="shared" si="0"/>
        <v/>
      </c>
      <c r="F56" s="7"/>
      <c r="G56" s="1"/>
      <c r="H56" s="1"/>
      <c r="I56" s="1"/>
    </row>
    <row r="57" spans="1:9" x14ac:dyDescent="0.3">
      <c r="A57" s="1"/>
      <c r="B57" s="1"/>
      <c r="C57" s="1"/>
      <c r="D57" s="1"/>
      <c r="E57" s="18" t="str">
        <f t="shared" si="0"/>
        <v/>
      </c>
      <c r="F57" s="7"/>
      <c r="G57" s="1"/>
      <c r="H57" s="1"/>
      <c r="I57" s="1"/>
    </row>
    <row r="58" spans="1:9" x14ac:dyDescent="0.3">
      <c r="A58" s="1"/>
      <c r="B58" s="1"/>
      <c r="C58" s="1"/>
      <c r="D58" s="1"/>
      <c r="E58" s="18" t="str">
        <f t="shared" si="0"/>
        <v/>
      </c>
      <c r="F58" s="7"/>
      <c r="G58" s="1"/>
      <c r="H58" s="1"/>
      <c r="I58" s="1"/>
    </row>
    <row r="59" spans="1:9" x14ac:dyDescent="0.3">
      <c r="A59" s="1"/>
      <c r="B59" s="1"/>
      <c r="C59" s="1"/>
      <c r="D59" s="1"/>
      <c r="E59" s="18" t="str">
        <f t="shared" si="0"/>
        <v/>
      </c>
      <c r="F59" s="7"/>
      <c r="G59" s="1"/>
      <c r="H59" s="1"/>
      <c r="I59" s="1"/>
    </row>
    <row r="60" spans="1:9" x14ac:dyDescent="0.3">
      <c r="A60" s="1"/>
      <c r="B60" s="1"/>
      <c r="C60" s="1"/>
      <c r="D60" s="1"/>
      <c r="E60" s="18" t="str">
        <f t="shared" si="0"/>
        <v/>
      </c>
      <c r="F60" s="7"/>
      <c r="G60" s="1"/>
      <c r="H60" s="1"/>
      <c r="I60" s="1"/>
    </row>
    <row r="61" spans="1:9" x14ac:dyDescent="0.3">
      <c r="A61" s="1"/>
      <c r="B61" s="1"/>
      <c r="C61" s="1"/>
      <c r="D61" s="1"/>
      <c r="E61" s="18" t="str">
        <f t="shared" si="0"/>
        <v/>
      </c>
      <c r="F61" s="7"/>
      <c r="G61" s="1"/>
      <c r="H61" s="1"/>
      <c r="I61" s="1"/>
    </row>
    <row r="62" spans="1:9" x14ac:dyDescent="0.3">
      <c r="A62" s="1"/>
      <c r="B62" s="1"/>
      <c r="C62" s="1"/>
      <c r="D62" s="1"/>
      <c r="E62" s="18" t="str">
        <f t="shared" si="0"/>
        <v/>
      </c>
      <c r="F62" s="7"/>
      <c r="G62" s="1"/>
      <c r="H62" s="1"/>
      <c r="I62" s="1"/>
    </row>
    <row r="63" spans="1:9" x14ac:dyDescent="0.3">
      <c r="A63" s="1"/>
      <c r="B63" s="1"/>
      <c r="C63" s="1"/>
      <c r="D63" s="1"/>
      <c r="E63" s="18" t="str">
        <f t="shared" si="0"/>
        <v/>
      </c>
      <c r="F63" s="7"/>
      <c r="G63" s="1"/>
      <c r="H63" s="1"/>
      <c r="I63" s="1"/>
    </row>
    <row r="64" spans="1:9" x14ac:dyDescent="0.3">
      <c r="A64" s="1"/>
      <c r="B64" s="1"/>
      <c r="C64" s="1"/>
      <c r="D64" s="1"/>
      <c r="E64" s="18" t="str">
        <f t="shared" si="0"/>
        <v/>
      </c>
      <c r="F64" s="7"/>
      <c r="G64" s="1"/>
      <c r="H64" s="1"/>
      <c r="I64" s="1"/>
    </row>
    <row r="65" spans="1:9" x14ac:dyDescent="0.3">
      <c r="A65" s="1"/>
      <c r="B65" s="1"/>
      <c r="C65" s="1"/>
      <c r="D65" s="1"/>
      <c r="E65" s="18" t="str">
        <f t="shared" si="0"/>
        <v/>
      </c>
      <c r="F65" s="7"/>
      <c r="G65" s="1"/>
      <c r="H65" s="1"/>
      <c r="I65" s="1"/>
    </row>
    <row r="66" spans="1:9" x14ac:dyDescent="0.3">
      <c r="A66" s="1"/>
      <c r="B66" s="1"/>
      <c r="C66" s="1"/>
      <c r="D66" s="1"/>
      <c r="E66" s="18" t="str">
        <f t="shared" si="0"/>
        <v/>
      </c>
      <c r="F66" s="7"/>
      <c r="G66" s="1"/>
      <c r="H66" s="1"/>
      <c r="I66" s="1"/>
    </row>
    <row r="67" spans="1:9" x14ac:dyDescent="0.3">
      <c r="A67" s="1"/>
      <c r="B67" s="1"/>
      <c r="C67" s="1"/>
      <c r="D67" s="1"/>
      <c r="E67" s="18" t="str">
        <f t="shared" ref="E67:E130" si="1">IF(OR(C67="",D67=""),"",C67-D67)</f>
        <v/>
      </c>
      <c r="F67" s="7"/>
      <c r="G67" s="1"/>
      <c r="H67" s="1"/>
      <c r="I67" s="1"/>
    </row>
    <row r="68" spans="1:9" x14ac:dyDescent="0.3">
      <c r="A68" s="1"/>
      <c r="B68" s="1"/>
      <c r="C68" s="1"/>
      <c r="D68" s="1"/>
      <c r="E68" s="18" t="str">
        <f t="shared" si="1"/>
        <v/>
      </c>
      <c r="F68" s="7"/>
      <c r="G68" s="1"/>
      <c r="H68" s="1"/>
      <c r="I68" s="1"/>
    </row>
    <row r="69" spans="1:9" x14ac:dyDescent="0.3">
      <c r="A69" s="1"/>
      <c r="B69" s="1"/>
      <c r="C69" s="1"/>
      <c r="D69" s="1"/>
      <c r="E69" s="18" t="str">
        <f t="shared" si="1"/>
        <v/>
      </c>
      <c r="F69" s="7"/>
      <c r="G69" s="1"/>
      <c r="H69" s="1"/>
      <c r="I69" s="1"/>
    </row>
    <row r="70" spans="1:9" x14ac:dyDescent="0.3">
      <c r="A70" s="1"/>
      <c r="B70" s="1"/>
      <c r="C70" s="1"/>
      <c r="D70" s="1"/>
      <c r="E70" s="18" t="str">
        <f t="shared" si="1"/>
        <v/>
      </c>
      <c r="F70" s="7"/>
      <c r="G70" s="1"/>
      <c r="H70" s="1"/>
      <c r="I70" s="1"/>
    </row>
    <row r="71" spans="1:9" x14ac:dyDescent="0.3">
      <c r="A71" s="1"/>
      <c r="B71" s="1"/>
      <c r="C71" s="1"/>
      <c r="D71" s="1"/>
      <c r="E71" s="18" t="str">
        <f t="shared" si="1"/>
        <v/>
      </c>
      <c r="F71" s="7"/>
      <c r="G71" s="1"/>
      <c r="H71" s="1"/>
      <c r="I71" s="1"/>
    </row>
    <row r="72" spans="1:9" x14ac:dyDescent="0.3">
      <c r="A72" s="1"/>
      <c r="B72" s="1"/>
      <c r="C72" s="1"/>
      <c r="D72" s="1"/>
      <c r="E72" s="18" t="str">
        <f t="shared" si="1"/>
        <v/>
      </c>
      <c r="F72" s="7"/>
      <c r="G72" s="1"/>
      <c r="H72" s="1"/>
      <c r="I72" s="1"/>
    </row>
    <row r="73" spans="1:9" x14ac:dyDescent="0.3">
      <c r="A73" s="1"/>
      <c r="B73" s="1"/>
      <c r="C73" s="1"/>
      <c r="D73" s="1"/>
      <c r="E73" s="18" t="str">
        <f t="shared" si="1"/>
        <v/>
      </c>
      <c r="F73" s="7"/>
      <c r="G73" s="1"/>
      <c r="H73" s="1"/>
      <c r="I73" s="1"/>
    </row>
    <row r="74" spans="1:9" x14ac:dyDescent="0.3">
      <c r="A74" s="1"/>
      <c r="B74" s="1"/>
      <c r="C74" s="1"/>
      <c r="D74" s="1"/>
      <c r="E74" s="18" t="str">
        <f t="shared" si="1"/>
        <v/>
      </c>
      <c r="F74" s="7"/>
      <c r="G74" s="1"/>
      <c r="H74" s="1"/>
      <c r="I74" s="1"/>
    </row>
    <row r="75" spans="1:9" x14ac:dyDescent="0.3">
      <c r="A75" s="1"/>
      <c r="B75" s="1"/>
      <c r="C75" s="1"/>
      <c r="D75" s="1"/>
      <c r="E75" s="18" t="str">
        <f t="shared" si="1"/>
        <v/>
      </c>
      <c r="F75" s="7"/>
      <c r="G75" s="1"/>
      <c r="H75" s="1"/>
      <c r="I75" s="1"/>
    </row>
    <row r="76" spans="1:9" x14ac:dyDescent="0.3">
      <c r="A76" s="1"/>
      <c r="B76" s="1"/>
      <c r="C76" s="1"/>
      <c r="D76" s="1"/>
      <c r="E76" s="18" t="str">
        <f t="shared" si="1"/>
        <v/>
      </c>
      <c r="F76" s="7"/>
      <c r="G76" s="1"/>
      <c r="H76" s="1"/>
      <c r="I76" s="1"/>
    </row>
    <row r="77" spans="1:9" x14ac:dyDescent="0.3">
      <c r="A77" s="1"/>
      <c r="B77" s="1"/>
      <c r="C77" s="1"/>
      <c r="D77" s="1"/>
      <c r="E77" s="18" t="str">
        <f t="shared" si="1"/>
        <v/>
      </c>
      <c r="F77" s="7"/>
      <c r="G77" s="1"/>
      <c r="H77" s="1"/>
      <c r="I77" s="1"/>
    </row>
    <row r="78" spans="1:9" x14ac:dyDescent="0.3">
      <c r="A78" s="1"/>
      <c r="B78" s="1"/>
      <c r="C78" s="1"/>
      <c r="D78" s="1"/>
      <c r="E78" s="18" t="str">
        <f t="shared" si="1"/>
        <v/>
      </c>
      <c r="F78" s="7"/>
      <c r="G78" s="1"/>
      <c r="H78" s="1"/>
      <c r="I78" s="1"/>
    </row>
    <row r="79" spans="1:9" x14ac:dyDescent="0.3">
      <c r="A79" s="1"/>
      <c r="B79" s="1"/>
      <c r="C79" s="1"/>
      <c r="D79" s="1"/>
      <c r="E79" s="18" t="str">
        <f t="shared" si="1"/>
        <v/>
      </c>
      <c r="F79" s="7"/>
      <c r="G79" s="1"/>
      <c r="H79" s="1"/>
      <c r="I79" s="1"/>
    </row>
    <row r="80" spans="1:9" x14ac:dyDescent="0.3">
      <c r="A80" s="1"/>
      <c r="B80" s="1"/>
      <c r="C80" s="1"/>
      <c r="D80" s="1"/>
      <c r="E80" s="18" t="str">
        <f t="shared" si="1"/>
        <v/>
      </c>
      <c r="F80" s="7"/>
      <c r="G80" s="1"/>
      <c r="H80" s="1"/>
      <c r="I80" s="1"/>
    </row>
    <row r="81" spans="1:9" x14ac:dyDescent="0.3">
      <c r="A81" s="1"/>
      <c r="B81" s="1"/>
      <c r="C81" s="1"/>
      <c r="D81" s="1"/>
      <c r="E81" s="18" t="str">
        <f t="shared" si="1"/>
        <v/>
      </c>
      <c r="F81" s="7"/>
      <c r="G81" s="1"/>
      <c r="H81" s="1"/>
      <c r="I81" s="1"/>
    </row>
    <row r="82" spans="1:9" x14ac:dyDescent="0.3">
      <c r="A82" s="1"/>
      <c r="B82" s="1"/>
      <c r="C82" s="1"/>
      <c r="D82" s="1"/>
      <c r="E82" s="18" t="str">
        <f t="shared" si="1"/>
        <v/>
      </c>
      <c r="F82" s="7"/>
      <c r="G82" s="1"/>
      <c r="H82" s="1"/>
      <c r="I82" s="1"/>
    </row>
    <row r="83" spans="1:9" x14ac:dyDescent="0.3">
      <c r="A83" s="1"/>
      <c r="B83" s="1"/>
      <c r="C83" s="1"/>
      <c r="D83" s="1"/>
      <c r="E83" s="18" t="str">
        <f t="shared" si="1"/>
        <v/>
      </c>
      <c r="F83" s="7"/>
      <c r="G83" s="1"/>
      <c r="H83" s="1"/>
      <c r="I83" s="1"/>
    </row>
    <row r="84" spans="1:9" x14ac:dyDescent="0.3">
      <c r="A84" s="1"/>
      <c r="B84" s="1"/>
      <c r="C84" s="1"/>
      <c r="D84" s="1"/>
      <c r="E84" s="18" t="str">
        <f t="shared" si="1"/>
        <v/>
      </c>
      <c r="F84" s="7"/>
      <c r="G84" s="1"/>
      <c r="H84" s="1"/>
      <c r="I84" s="1"/>
    </row>
    <row r="85" spans="1:9" x14ac:dyDescent="0.3">
      <c r="A85" s="1"/>
      <c r="B85" s="1"/>
      <c r="C85" s="1"/>
      <c r="D85" s="1"/>
      <c r="E85" s="18" t="str">
        <f t="shared" si="1"/>
        <v/>
      </c>
      <c r="F85" s="7"/>
      <c r="G85" s="1"/>
      <c r="H85" s="1"/>
      <c r="I85" s="1"/>
    </row>
    <row r="86" spans="1:9" x14ac:dyDescent="0.3">
      <c r="A86" s="1"/>
      <c r="B86" s="1"/>
      <c r="C86" s="1"/>
      <c r="D86" s="1"/>
      <c r="E86" s="18" t="str">
        <f t="shared" si="1"/>
        <v/>
      </c>
      <c r="F86" s="7"/>
      <c r="G86" s="1"/>
      <c r="H86" s="1"/>
      <c r="I86" s="1"/>
    </row>
    <row r="87" spans="1:9" x14ac:dyDescent="0.3">
      <c r="A87" s="1"/>
      <c r="B87" s="1"/>
      <c r="C87" s="1"/>
      <c r="D87" s="1"/>
      <c r="E87" s="18" t="str">
        <f t="shared" si="1"/>
        <v/>
      </c>
      <c r="F87" s="7"/>
      <c r="G87" s="1"/>
      <c r="H87" s="1"/>
      <c r="I87" s="1"/>
    </row>
    <row r="88" spans="1:9" x14ac:dyDescent="0.3">
      <c r="A88" s="1"/>
      <c r="B88" s="1"/>
      <c r="C88" s="1"/>
      <c r="D88" s="1"/>
      <c r="E88" s="18" t="str">
        <f t="shared" si="1"/>
        <v/>
      </c>
      <c r="F88" s="7"/>
      <c r="G88" s="1"/>
      <c r="H88" s="1"/>
      <c r="I88" s="1"/>
    </row>
    <row r="89" spans="1:9" x14ac:dyDescent="0.3">
      <c r="A89" s="1"/>
      <c r="B89" s="1"/>
      <c r="C89" s="1"/>
      <c r="D89" s="1"/>
      <c r="E89" s="18" t="str">
        <f t="shared" si="1"/>
        <v/>
      </c>
      <c r="F89" s="7"/>
      <c r="G89" s="1"/>
      <c r="H89" s="1"/>
      <c r="I89" s="1"/>
    </row>
    <row r="90" spans="1:9" x14ac:dyDescent="0.3">
      <c r="A90" s="1"/>
      <c r="B90" s="1"/>
      <c r="C90" s="1"/>
      <c r="D90" s="1"/>
      <c r="E90" s="18" t="str">
        <f t="shared" si="1"/>
        <v/>
      </c>
      <c r="F90" s="7"/>
      <c r="G90" s="1"/>
      <c r="H90" s="1"/>
      <c r="I90" s="1"/>
    </row>
    <row r="91" spans="1:9" x14ac:dyDescent="0.3">
      <c r="A91" s="1"/>
      <c r="B91" s="1"/>
      <c r="C91" s="1"/>
      <c r="D91" s="1"/>
      <c r="E91" s="18" t="str">
        <f t="shared" si="1"/>
        <v/>
      </c>
      <c r="F91" s="7"/>
      <c r="G91" s="1"/>
      <c r="H91" s="1"/>
      <c r="I91" s="1"/>
    </row>
    <row r="92" spans="1:9" x14ac:dyDescent="0.3">
      <c r="A92" s="1"/>
      <c r="B92" s="1"/>
      <c r="C92" s="1"/>
      <c r="D92" s="1"/>
      <c r="E92" s="18" t="str">
        <f t="shared" si="1"/>
        <v/>
      </c>
      <c r="F92" s="7"/>
      <c r="G92" s="1"/>
      <c r="H92" s="1"/>
      <c r="I92" s="1"/>
    </row>
    <row r="93" spans="1:9" x14ac:dyDescent="0.3">
      <c r="A93" s="1"/>
      <c r="B93" s="1"/>
      <c r="C93" s="1"/>
      <c r="D93" s="1"/>
      <c r="E93" s="18" t="str">
        <f t="shared" si="1"/>
        <v/>
      </c>
      <c r="F93" s="7"/>
      <c r="G93" s="1"/>
      <c r="H93" s="1"/>
      <c r="I93" s="1"/>
    </row>
    <row r="94" spans="1:9" x14ac:dyDescent="0.3">
      <c r="A94" s="1"/>
      <c r="B94" s="1"/>
      <c r="C94" s="1"/>
      <c r="D94" s="1"/>
      <c r="E94" s="18" t="str">
        <f t="shared" si="1"/>
        <v/>
      </c>
      <c r="F94" s="7"/>
      <c r="G94" s="1"/>
      <c r="H94" s="1"/>
      <c r="I94" s="1"/>
    </row>
    <row r="95" spans="1:9" x14ac:dyDescent="0.3">
      <c r="A95" s="1"/>
      <c r="B95" s="1"/>
      <c r="C95" s="1"/>
      <c r="D95" s="1"/>
      <c r="E95" s="18" t="str">
        <f t="shared" si="1"/>
        <v/>
      </c>
      <c r="F95" s="7"/>
      <c r="G95" s="1"/>
      <c r="H95" s="1"/>
      <c r="I95" s="1"/>
    </row>
    <row r="96" spans="1:9" x14ac:dyDescent="0.3">
      <c r="A96" s="1"/>
      <c r="B96" s="1"/>
      <c r="C96" s="1"/>
      <c r="D96" s="1"/>
      <c r="E96" s="18" t="str">
        <f t="shared" si="1"/>
        <v/>
      </c>
      <c r="F96" s="7"/>
      <c r="G96" s="1"/>
      <c r="H96" s="1"/>
      <c r="I96" s="1"/>
    </row>
    <row r="97" spans="1:9" x14ac:dyDescent="0.3">
      <c r="A97" s="1"/>
      <c r="B97" s="1"/>
      <c r="C97" s="1"/>
      <c r="D97" s="1"/>
      <c r="E97" s="18" t="str">
        <f t="shared" si="1"/>
        <v/>
      </c>
      <c r="F97" s="7"/>
      <c r="G97" s="1"/>
      <c r="H97" s="1"/>
      <c r="I97" s="1"/>
    </row>
    <row r="98" spans="1:9" x14ac:dyDescent="0.3">
      <c r="A98" s="1"/>
      <c r="B98" s="1"/>
      <c r="C98" s="1"/>
      <c r="D98" s="1"/>
      <c r="E98" s="18" t="str">
        <f t="shared" si="1"/>
        <v/>
      </c>
      <c r="F98" s="7"/>
      <c r="G98" s="1"/>
      <c r="H98" s="1"/>
      <c r="I98" s="1"/>
    </row>
    <row r="99" spans="1:9" x14ac:dyDescent="0.3">
      <c r="A99" s="1"/>
      <c r="B99" s="1"/>
      <c r="C99" s="1"/>
      <c r="D99" s="1"/>
      <c r="E99" s="18" t="str">
        <f t="shared" si="1"/>
        <v/>
      </c>
      <c r="F99" s="7"/>
      <c r="G99" s="1"/>
      <c r="H99" s="1"/>
      <c r="I99" s="1"/>
    </row>
    <row r="100" spans="1:9" x14ac:dyDescent="0.3">
      <c r="A100" s="1"/>
      <c r="B100" s="1"/>
      <c r="C100" s="1"/>
      <c r="D100" s="1"/>
      <c r="E100" s="18" t="str">
        <f t="shared" si="1"/>
        <v/>
      </c>
      <c r="F100" s="7"/>
      <c r="G100" s="1"/>
      <c r="H100" s="1"/>
      <c r="I100" s="1"/>
    </row>
    <row r="101" spans="1:9" x14ac:dyDescent="0.3">
      <c r="A101" s="1"/>
      <c r="B101" s="1"/>
      <c r="C101" s="1"/>
      <c r="D101" s="1"/>
      <c r="E101" s="18" t="str">
        <f t="shared" si="1"/>
        <v/>
      </c>
      <c r="F101" s="7"/>
      <c r="G101" s="1"/>
      <c r="H101" s="1"/>
      <c r="I101" s="1"/>
    </row>
    <row r="102" spans="1:9" x14ac:dyDescent="0.3">
      <c r="A102" s="1"/>
      <c r="B102" s="1"/>
      <c r="C102" s="1"/>
      <c r="D102" s="1"/>
      <c r="E102" s="18" t="str">
        <f t="shared" si="1"/>
        <v/>
      </c>
      <c r="F102" s="7"/>
      <c r="G102" s="1"/>
      <c r="H102" s="1"/>
      <c r="I102" s="1"/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2026-07-16T17:28:19Z</dcterms:modified>
</cp:coreProperties>
</file>