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1D73DDE3-849F-4473-89D5-97A21B9640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Q2" i="2"/>
  <c r="Q3" i="2"/>
  <c r="Q4" i="2"/>
  <c r="R4" i="2" s="1"/>
  <c r="Q5" i="2"/>
  <c r="Q6" i="2"/>
  <c r="Q7" i="2"/>
  <c r="Q8" i="2"/>
  <c r="Q9" i="2"/>
  <c r="Q10" i="2"/>
  <c r="Q11" i="2"/>
  <c r="Q12" i="2"/>
  <c r="S12" i="2" s="1"/>
  <c r="Q13" i="2"/>
  <c r="Q14" i="2"/>
  <c r="Q15" i="2"/>
  <c r="Q16" i="2"/>
  <c r="Q17" i="2"/>
  <c r="Q18" i="2"/>
  <c r="Q19" i="2"/>
  <c r="Q20" i="2"/>
  <c r="R20" i="2" s="1"/>
  <c r="Q21" i="2"/>
  <c r="Q22" i="2"/>
  <c r="R22" i="2" s="1"/>
  <c r="Q23" i="2"/>
  <c r="R23" i="2" s="1"/>
  <c r="Q24" i="2"/>
  <c r="Q25" i="2"/>
  <c r="Q26" i="2"/>
  <c r="Q27" i="2"/>
  <c r="Q28" i="2"/>
  <c r="R28" i="2" s="1"/>
  <c r="Q29" i="2"/>
  <c r="Q30" i="2"/>
  <c r="R30" i="2" s="1"/>
  <c r="Q31" i="2"/>
  <c r="R31" i="2" s="1"/>
  <c r="Q32" i="2"/>
  <c r="Q33" i="2"/>
  <c r="Q34" i="2"/>
  <c r="Q35" i="2"/>
  <c r="Q36" i="2"/>
  <c r="S36" i="2" s="1"/>
  <c r="T36" i="2" s="1"/>
  <c r="R2" i="2"/>
  <c r="R3" i="2"/>
  <c r="R5" i="2"/>
  <c r="R6" i="2"/>
  <c r="R7" i="2"/>
  <c r="R8" i="2"/>
  <c r="R9" i="2"/>
  <c r="R10" i="2"/>
  <c r="R11" i="2"/>
  <c r="R13" i="2"/>
  <c r="R14" i="2"/>
  <c r="R15" i="2"/>
  <c r="R16" i="2"/>
  <c r="R17" i="2"/>
  <c r="R18" i="2"/>
  <c r="R19" i="2"/>
  <c r="R21" i="2"/>
  <c r="R24" i="2"/>
  <c r="R25" i="2"/>
  <c r="R26" i="2"/>
  <c r="R27" i="2"/>
  <c r="R29" i="2"/>
  <c r="R32" i="2"/>
  <c r="R33" i="2"/>
  <c r="R34" i="2"/>
  <c r="R35" i="2"/>
  <c r="S2" i="2"/>
  <c r="S3" i="2"/>
  <c r="S5" i="2"/>
  <c r="S6" i="2"/>
  <c r="S7" i="2"/>
  <c r="T7" i="2" s="1"/>
  <c r="S8" i="2"/>
  <c r="S9" i="2"/>
  <c r="T9" i="2" s="1"/>
  <c r="S10" i="2"/>
  <c r="S11" i="2"/>
  <c r="T11" i="2" s="1"/>
  <c r="S13" i="2"/>
  <c r="S14" i="2"/>
  <c r="S15" i="2"/>
  <c r="S16" i="2"/>
  <c r="T16" i="2" s="1"/>
  <c r="S17" i="2"/>
  <c r="S18" i="2"/>
  <c r="S19" i="2"/>
  <c r="S21" i="2"/>
  <c r="S22" i="2"/>
  <c r="S23" i="2"/>
  <c r="S24" i="2"/>
  <c r="T24" i="2" s="1"/>
  <c r="S25" i="2"/>
  <c r="S26" i="2"/>
  <c r="S27" i="2"/>
  <c r="S29" i="2"/>
  <c r="S32" i="2"/>
  <c r="T32" i="2" s="1"/>
  <c r="S33" i="2"/>
  <c r="S34" i="2"/>
  <c r="T34" i="2" s="1"/>
  <c r="S35" i="2"/>
  <c r="T2" i="2"/>
  <c r="T3" i="2"/>
  <c r="T4" i="2"/>
  <c r="T5" i="2"/>
  <c r="T6" i="2"/>
  <c r="T8" i="2"/>
  <c r="T10" i="2"/>
  <c r="T12" i="2"/>
  <c r="T13" i="2"/>
  <c r="T14" i="2"/>
  <c r="T15" i="2"/>
  <c r="T17" i="2"/>
  <c r="T18" i="2"/>
  <c r="T19" i="2"/>
  <c r="T21" i="2"/>
  <c r="T22" i="2"/>
  <c r="T23" i="2"/>
  <c r="T25" i="2"/>
  <c r="T26" i="2"/>
  <c r="T27" i="2"/>
  <c r="T29" i="2"/>
  <c r="T31" i="2"/>
  <c r="T33" i="2"/>
  <c r="T35" i="2"/>
  <c r="R36" i="2" l="1"/>
  <c r="S20" i="2"/>
  <c r="T20" i="2" s="1"/>
  <c r="R12" i="2"/>
  <c r="S31" i="2"/>
  <c r="S28" i="2"/>
  <c r="T28" i="2" s="1"/>
  <c r="S4" i="2"/>
  <c r="S30" i="2"/>
  <c r="T3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sharedStrings.xml><?xml version="1.0" encoding="utf-8"?>
<sst xmlns="http://schemas.openxmlformats.org/spreadsheetml/2006/main" count="125" uniqueCount="25">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</sst>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m]&quot; min &quot;ss&quot; s&quot;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64" fontId="0" fillId="2" borderId="10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</cellXfs>
  <cellStyles count="1">
    <cellStyle name="Normal" xfId="0" builtinId="0"/>
  </cellStyles>
  <dxfs count="28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36" tableType="queryTable" totalsRowShown="0" headerRowDxfId="26" dataDxfId="24" headerRowBorderDxfId="25">
  <autoFilter ref="A1:T36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queryTableFieldId="1" dataDxfId="19"/>
    <tableColumn id="2" xr3:uid="{8875E207-7656-4267-B823-C7E520343114}" uniqueName="2" name="from_edge" queryTableFieldId="2" dataDxfId="18"/>
    <tableColumn id="3" xr3:uid="{C1D71A6F-C15E-4E3F-B3E8-4E53F667AAA9}" uniqueName="3" name="to_edge" queryTableFieldId="3" dataDxfId="17"/>
    <tableColumn id="4" xr3:uid="{7C02CC50-B264-48BB-9ED1-F9CB62433332}" uniqueName="4" name="depart_time_s" queryTableFieldId="4" dataDxfId="16"/>
    <tableColumn id="5" xr3:uid="{84C4017E-49DC-4A74-9844-E02BA6A6256F}" uniqueName="5" name="arrival_time_s" queryTableFieldId="5" dataDxfId="15"/>
    <tableColumn id="6" xr3:uid="{64B822F0-2F2E-4BB3-89F9-68F1A5C0C73F}" uniqueName="6" name="travel_time_s" queryTableFieldId="6" dataDxfId="14"/>
    <tableColumn id="7" xr3:uid="{9C1D084C-698C-4580-91F5-ABABFD309737}" uniqueName="7" name="waiting_time_s" queryTableFieldId="7" dataDxfId="13"/>
    <tableColumn id="8" xr3:uid="{A447A697-7A38-49C3-B388-F9B02F5A7E70}" uniqueName="8" name="avg_speed_m_s" queryTableFieldId="8" dataDxfId="12"/>
    <tableColumn id="9" xr3:uid="{DEEF1CB2-D9D7-4554-82AB-9BF754A5D372}" uniqueName="9" name="distance_m" queryTableFieldId="9" dataDxfId="11"/>
    <tableColumn id="10" xr3:uid="{43F85DBF-84F2-44EF-A68D-87A60E932491}" uniqueName="10" name="tls_actions" queryTableFieldId="10" dataDxfId="10"/>
    <tableColumn id="11" xr3:uid="{9FA8088E-D2D4-42E8-ACE7-C9EC4341B6CE}" uniqueName="11" name="arrived" queryTableFieldId="11" dataDxfId="9"/>
    <tableColumn id="12" xr3:uid="{238E5578-7FB5-4297-90CC-B5EDBC46F60B}" uniqueName="12" name="traffic_data_time" queryTableFieldId="12" dataDxfId="8"/>
    <tableColumn id="13" xr3:uid="{8C55C22D-6A81-41B8-91C9-AECDEFA14C8F}" uniqueName="13" name="ESCENARIO" queryTableFieldId="13" dataDxfId="7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>
      <calculatedColumnFormula>IF(H2="","",H2*3.6)</calculatedColumnFormula>
    </tableColumn>
    <tableColumn id="16" xr3:uid="{A4D647BD-3315-40AE-8879-9C4402C0E240}" uniqueName="16" name="distancia_km" queryTableFieldId="16" dataDxfId="4">
      <calculatedColumnFormula>IF(I2="","",I2/1000)</calculatedColumnFormula>
    </tableColumn>
    <tableColumn id="17" xr3:uid="{E57B02F2-42E6-46EA-B725-0039943C43E8}" uniqueName="17" name="tiempo_base_ref" queryTableFieldId="17" dataDxfId="3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>
      <calculatedColumnFormula>IF(OR(A2&lt;&gt;"inteligente",K2&lt;&gt;TRUE,Q2=""),"",(Q2-F2/86400)/Q2)</calculatedColumnFormula>
    </tableColumn>
    <tableColumn id="20" xr3:uid="{4E0EC417-5531-463A-B607-B62DF82B38D2}" uniqueName="20" name="OBSERVACIONES" queryTableFieldId="20" dataDxfId="0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T1033"/>
  <sheetViews>
    <sheetView tabSelected="1" topLeftCell="K11" workbookViewId="0">
      <selection activeCell="N32" sqref="N32"/>
    </sheetView>
  </sheetViews>
  <sheetFormatPr baseColWidth="10" defaultRowHeight="14.4" x14ac:dyDescent="0.3"/>
  <cols>
    <col min="1" max="1" width="9.5546875" bestFit="1" customWidth="1"/>
    <col min="2" max="2" width="12.44140625" bestFit="1" customWidth="1"/>
    <col min="3" max="3" width="10.109375" bestFit="1" customWidth="1"/>
    <col min="4" max="4" width="15.33203125" bestFit="1" customWidth="1"/>
    <col min="5" max="5" width="15" bestFit="1" customWidth="1"/>
    <col min="6" max="6" width="14.5546875" bestFit="1" customWidth="1"/>
    <col min="7" max="7" width="15.88671875" bestFit="1" customWidth="1"/>
    <col min="8" max="8" width="16.6640625" bestFit="1" customWidth="1"/>
    <col min="9" max="9" width="12.88671875" bestFit="1" customWidth="1"/>
    <col min="10" max="10" width="12.109375" bestFit="1" customWidth="1"/>
    <col min="11" max="11" width="11.21875" bestFit="1" customWidth="1"/>
    <col min="12" max="12" width="17.77734375" bestFit="1" customWidth="1"/>
    <col min="13" max="13" width="46" bestFit="1" customWidth="1"/>
    <col min="14" max="14" width="18.5546875" bestFit="1" customWidth="1"/>
    <col min="15" max="15" width="23.44140625" bestFit="1" customWidth="1"/>
    <col min="16" max="16" width="14.33203125" bestFit="1" customWidth="1"/>
    <col min="17" max="17" width="17.44140625" style="5" bestFit="1" customWidth="1"/>
    <col min="18" max="18" width="18.6640625" bestFit="1" customWidth="1"/>
    <col min="19" max="19" width="21.109375" style="8" bestFit="1" customWidth="1"/>
    <col min="20" max="20" width="17.5546875" bestFit="1" customWidth="1"/>
  </cols>
  <sheetData>
    <row r="1" spans="1:20" ht="15.6" thickTop="1" thickBot="1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7" t="s">
        <v>14</v>
      </c>
      <c r="N1" s="16" t="s">
        <v>15</v>
      </c>
      <c r="O1" s="16" t="s">
        <v>16</v>
      </c>
      <c r="P1" s="16" t="s">
        <v>17</v>
      </c>
      <c r="Q1" s="18" t="s">
        <v>18</v>
      </c>
      <c r="R1" s="16" t="s">
        <v>19</v>
      </c>
      <c r="S1" s="19" t="s">
        <v>20</v>
      </c>
      <c r="T1" s="16" t="s">
        <v>21</v>
      </c>
    </row>
    <row r="2" spans="1:20" ht="15" thickTop="1" x14ac:dyDescent="0.3">
      <c r="A2" s="9" t="s">
        <v>12</v>
      </c>
      <c r="B2" s="9" t="s">
        <v>22</v>
      </c>
      <c r="C2" s="9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21" t="str">
        <f t="shared" ref="M2:M36" si="0">B2&amp;" -&gt; "&amp;C2&amp;" | t="&amp;D2&amp;" | "&amp;TEXT(L2,"dd/mm/aaaa hh:mm")</f>
        <v>238829520 -&gt; 5989317 | t=250 | 24/05/2026 11:45</v>
      </c>
      <c r="N2" s="22" t="str">
        <f t="shared" ref="N2:N36" si="1">IF(F2="","",INT(F2/60)&amp;" min "&amp;TEXT(MOD(F2,60),"00")&amp;" s")</f>
        <v>3 min 56 s</v>
      </c>
      <c r="O2" s="11">
        <f t="shared" ref="O2:O36" si="2">IF(H2="","",H2*3.6)</f>
        <v>28.335600000000003</v>
      </c>
      <c r="P2" s="11">
        <f t="shared" ref="P2:P36" si="3">IF(I2="","",I2/1000)</f>
        <v>1.8497059999999999</v>
      </c>
      <c r="Q2" s="13">
        <f t="shared" ref="Q2:Q36" si="4">IFERROR(AVERAGEIFS($F:$F,$A:$A,"base",$B:$B,B2,$C:$C,C2,$D:$D,D2,$K:$K,TRUE,$L:$L,L2)/86400,"")</f>
        <v>2.7314814814814814E-3</v>
      </c>
      <c r="R2" s="22" t="str">
        <f t="shared" ref="R2:R36" si="5">IF(OR(A2&lt;&gt;"inteligente",K2&lt;&gt;TRUE,Q2=""),"",IF(Q2-F2/86400&lt;0,"-","")&amp;INT(ABS(Q2-F2/86400)*1440)&amp;" min "&amp;TEXT(MOD(ABS(Q2-F2/86400)*86400,60),"00")&amp;" s")</f>
        <v/>
      </c>
      <c r="S2" s="14" t="str">
        <f t="shared" ref="S2:S36" si="6">IF(OR(A2&lt;&gt;"inteligente",K2&lt;&gt;TRUE,Q2=""),"",(Q2-F2/86400)/Q2)</f>
        <v/>
      </c>
      <c r="T2" s="22" t="str">
        <f t="shared" ref="T2:T36" si="7">IF(K2&lt;&gt;TRUE,"No llega",IF(A2="base","Referencia",IF(S2="","Sin referencia",IF(S2&gt;0,"Mejora",IF(S2&lt;0,"Empeora","Igual")))))</f>
        <v>Referencia</v>
      </c>
    </row>
    <row r="3" spans="1:20" x14ac:dyDescent="0.3">
      <c r="A3" s="9" t="s">
        <v>13</v>
      </c>
      <c r="B3" s="9" t="s">
        <v>22</v>
      </c>
      <c r="C3" s="9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21" t="str">
        <f t="shared" si="0"/>
        <v>238829520 -&gt; 5989317 | t=250 | 24/05/2026 11:45</v>
      </c>
      <c r="N3" s="1" t="str">
        <f t="shared" si="1"/>
        <v>2 min 38 s</v>
      </c>
      <c r="O3" s="6">
        <f t="shared" si="2"/>
        <v>42.184800000000003</v>
      </c>
      <c r="P3" s="6">
        <f t="shared" si="3"/>
        <v>1.8396890000000001</v>
      </c>
      <c r="Q3" s="4">
        <f t="shared" si="4"/>
        <v>2.7314814814814814E-3</v>
      </c>
      <c r="R3" s="1" t="str">
        <f t="shared" si="5"/>
        <v>1 min 18 s</v>
      </c>
      <c r="S3" s="7">
        <f t="shared" si="6"/>
        <v>0.33050847457627119</v>
      </c>
      <c r="T3" s="1" t="str">
        <f t="shared" si="7"/>
        <v>Mejora</v>
      </c>
    </row>
    <row r="4" spans="1:20" x14ac:dyDescent="0.3">
      <c r="A4" s="9" t="s">
        <v>12</v>
      </c>
      <c r="B4" s="9" t="s">
        <v>22</v>
      </c>
      <c r="C4" s="9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46166.520902777775</v>
      </c>
      <c r="M4" s="21" t="str">
        <f t="shared" si="0"/>
        <v>238829520 -&gt; 5989317 | t=250 | 24/05/2026 12:30</v>
      </c>
      <c r="N4" s="1" t="str">
        <f t="shared" si="1"/>
        <v>2 min 40 s</v>
      </c>
      <c r="O4" s="6">
        <f t="shared" si="2"/>
        <v>41.6556</v>
      </c>
      <c r="P4" s="6">
        <f t="shared" si="3"/>
        <v>1.83979</v>
      </c>
      <c r="Q4" s="4">
        <f t="shared" si="4"/>
        <v>1.8518518518518519E-3</v>
      </c>
      <c r="R4" s="1" t="str">
        <f t="shared" si="5"/>
        <v/>
      </c>
      <c r="S4" s="7" t="str">
        <f t="shared" si="6"/>
        <v/>
      </c>
      <c r="T4" s="1" t="str">
        <f t="shared" si="7"/>
        <v>Referencia</v>
      </c>
    </row>
    <row r="5" spans="1:20" x14ac:dyDescent="0.3">
      <c r="A5" s="9" t="s">
        <v>13</v>
      </c>
      <c r="B5" s="9" t="s">
        <v>22</v>
      </c>
      <c r="C5" s="9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46166.520902777775</v>
      </c>
      <c r="M5" s="21" t="str">
        <f t="shared" si="0"/>
        <v>238829520 -&gt; 5989317 | t=250 | 24/05/2026 12:30</v>
      </c>
      <c r="N5" s="1" t="str">
        <f t="shared" si="1"/>
        <v>2 min 32 s</v>
      </c>
      <c r="O5" s="6">
        <f t="shared" si="2"/>
        <v>43.869599999999998</v>
      </c>
      <c r="P5" s="6">
        <f t="shared" si="3"/>
        <v>1.84002</v>
      </c>
      <c r="Q5" s="4">
        <f t="shared" si="4"/>
        <v>1.8518518518518519E-3</v>
      </c>
      <c r="R5" s="1" t="str">
        <f t="shared" si="5"/>
        <v>0 min 08 s</v>
      </c>
      <c r="S5" s="7">
        <f t="shared" si="6"/>
        <v>5.0000000000000044E-2</v>
      </c>
      <c r="T5" s="1" t="str">
        <f t="shared" si="7"/>
        <v>Mejora</v>
      </c>
    </row>
    <row r="6" spans="1:20" x14ac:dyDescent="0.3">
      <c r="A6" s="9" t="s">
        <v>13</v>
      </c>
      <c r="B6" s="9" t="s">
        <v>22</v>
      </c>
      <c r="C6" s="9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46166.520902777775</v>
      </c>
      <c r="M6" s="21" t="str">
        <f t="shared" si="0"/>
        <v>238829520 -&gt; 5989317 | t=500 | 24/05/2026 12:30</v>
      </c>
      <c r="N6" s="1" t="str">
        <f t="shared" si="1"/>
        <v>8 min 18 s</v>
      </c>
      <c r="O6" s="6">
        <f t="shared" si="2"/>
        <v>13.363200000000001</v>
      </c>
      <c r="P6" s="6">
        <f t="shared" si="3"/>
        <v>1.8446559999999999</v>
      </c>
      <c r="Q6" s="4" t="str">
        <f t="shared" si="4"/>
        <v/>
      </c>
      <c r="R6" s="1" t="str">
        <f t="shared" si="5"/>
        <v/>
      </c>
      <c r="S6" s="7" t="str">
        <f t="shared" si="6"/>
        <v/>
      </c>
      <c r="T6" s="1" t="str">
        <f t="shared" si="7"/>
        <v>Sin referencia</v>
      </c>
    </row>
    <row r="7" spans="1:20" x14ac:dyDescent="0.3">
      <c r="A7" s="9" t="s">
        <v>13</v>
      </c>
      <c r="B7" s="9" t="s">
        <v>22</v>
      </c>
      <c r="C7" s="9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46166.520902777775</v>
      </c>
      <c r="M7" s="21" t="str">
        <f t="shared" si="0"/>
        <v>238829520 -&gt; 5989317 | t=500 | 24/05/2026 12:30</v>
      </c>
      <c r="N7" s="1" t="str">
        <f t="shared" si="1"/>
        <v>8 min 18 s</v>
      </c>
      <c r="O7" s="6">
        <f t="shared" si="2"/>
        <v>13.363200000000001</v>
      </c>
      <c r="P7" s="6">
        <f t="shared" si="3"/>
        <v>1.8446559999999999</v>
      </c>
      <c r="Q7" s="4" t="str">
        <f t="shared" si="4"/>
        <v/>
      </c>
      <c r="R7" s="1" t="str">
        <f t="shared" si="5"/>
        <v/>
      </c>
      <c r="S7" s="7" t="str">
        <f t="shared" si="6"/>
        <v/>
      </c>
      <c r="T7" s="1" t="str">
        <f t="shared" si="7"/>
        <v>Sin referencia</v>
      </c>
    </row>
    <row r="8" spans="1:20" x14ac:dyDescent="0.3">
      <c r="A8" s="9" t="s">
        <v>12</v>
      </c>
      <c r="B8" s="9" t="s">
        <v>22</v>
      </c>
      <c r="C8" s="9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46166.52784722222</v>
      </c>
      <c r="M8" s="21" t="str">
        <f t="shared" si="0"/>
        <v>238829520 -&gt; 5989317 | t=500 | 24/05/2026 12:40</v>
      </c>
      <c r="N8" s="1" t="str">
        <f t="shared" si="1"/>
        <v>10 min 15 s</v>
      </c>
      <c r="O8" s="6">
        <f t="shared" si="2"/>
        <v>10.814400000000001</v>
      </c>
      <c r="P8" s="6">
        <f t="shared" si="3"/>
        <v>1.8444240000000001</v>
      </c>
      <c r="Q8" s="4">
        <f t="shared" si="4"/>
        <v>7.1180555555555554E-3</v>
      </c>
      <c r="R8" s="1" t="str">
        <f t="shared" si="5"/>
        <v/>
      </c>
      <c r="S8" s="7" t="str">
        <f t="shared" si="6"/>
        <v/>
      </c>
      <c r="T8" s="1" t="str">
        <f t="shared" si="7"/>
        <v>Referencia</v>
      </c>
    </row>
    <row r="9" spans="1:20" x14ac:dyDescent="0.3">
      <c r="A9" s="9" t="s">
        <v>13</v>
      </c>
      <c r="B9" s="9" t="s">
        <v>22</v>
      </c>
      <c r="C9" s="9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46166.52784722222</v>
      </c>
      <c r="M9" s="21" t="str">
        <f t="shared" si="0"/>
        <v>238829520 -&gt; 5989317 | t=500 | 24/05/2026 12:40</v>
      </c>
      <c r="N9" s="1" t="str">
        <f t="shared" si="1"/>
        <v>8 min 27 s</v>
      </c>
      <c r="O9" s="6">
        <f t="shared" si="2"/>
        <v>13.1256</v>
      </c>
      <c r="P9" s="6">
        <f t="shared" si="3"/>
        <v>1.8449749999999998</v>
      </c>
      <c r="Q9" s="4">
        <f t="shared" si="4"/>
        <v>7.1180555555555554E-3</v>
      </c>
      <c r="R9" s="1" t="str">
        <f t="shared" si="5"/>
        <v>1 min 48 s</v>
      </c>
      <c r="S9" s="7">
        <f t="shared" si="6"/>
        <v>0.17560975609756102</v>
      </c>
      <c r="T9" s="1" t="str">
        <f t="shared" si="7"/>
        <v>Mejora</v>
      </c>
    </row>
    <row r="10" spans="1:20" x14ac:dyDescent="0.3">
      <c r="A10" s="9" t="s">
        <v>12</v>
      </c>
      <c r="B10" s="9" t="s">
        <v>22</v>
      </c>
      <c r="C10" s="9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46166.531319444446</v>
      </c>
      <c r="M10" s="21" t="str">
        <f t="shared" si="0"/>
        <v>238829520 -&gt; 5989317 | t=300 | 24/05/2026 12:45</v>
      </c>
      <c r="N10" s="1" t="str">
        <f t="shared" si="1"/>
        <v>4 min 37 s</v>
      </c>
      <c r="O10" s="6">
        <f t="shared" si="2"/>
        <v>24.109200000000001</v>
      </c>
      <c r="P10" s="6">
        <f t="shared" si="3"/>
        <v>1.848282</v>
      </c>
      <c r="Q10" s="4">
        <f t="shared" si="4"/>
        <v>3.2060185185185186E-3</v>
      </c>
      <c r="R10" s="1" t="str">
        <f t="shared" si="5"/>
        <v/>
      </c>
      <c r="S10" s="7" t="str">
        <f t="shared" si="6"/>
        <v/>
      </c>
      <c r="T10" s="1" t="str">
        <f t="shared" si="7"/>
        <v>Referencia</v>
      </c>
    </row>
    <row r="11" spans="1:20" x14ac:dyDescent="0.3">
      <c r="A11" s="9" t="s">
        <v>13</v>
      </c>
      <c r="B11" s="9" t="s">
        <v>22</v>
      </c>
      <c r="C11" s="9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46166.531319444446</v>
      </c>
      <c r="M11" s="21" t="str">
        <f t="shared" si="0"/>
        <v>238829520 -&gt; 5989317 | t=300 | 24/05/2026 12:45</v>
      </c>
      <c r="N11" s="1" t="str">
        <f t="shared" si="1"/>
        <v>3 min 18 s</v>
      </c>
      <c r="O11" s="6">
        <f t="shared" si="2"/>
        <v>33.796799999999998</v>
      </c>
      <c r="P11" s="6">
        <f t="shared" si="3"/>
        <v>1.8493740000000001</v>
      </c>
      <c r="Q11" s="4">
        <f t="shared" si="4"/>
        <v>3.2060185185185186E-3</v>
      </c>
      <c r="R11" s="1" t="str">
        <f t="shared" si="5"/>
        <v>1 min 19 s</v>
      </c>
      <c r="S11" s="7">
        <f t="shared" si="6"/>
        <v>0.2851985559566787</v>
      </c>
      <c r="T11" s="1" t="str">
        <f t="shared" si="7"/>
        <v>Mejora</v>
      </c>
    </row>
    <row r="12" spans="1:20" x14ac:dyDescent="0.3">
      <c r="A12" s="9" t="s">
        <v>12</v>
      </c>
      <c r="B12" s="9" t="s">
        <v>22</v>
      </c>
      <c r="C12" s="9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46166.538263888891</v>
      </c>
      <c r="M12" s="21" t="str">
        <f t="shared" si="0"/>
        <v>238829520 -&gt; 5989317 | t=250 | 24/05/2026 12:55</v>
      </c>
      <c r="N12" s="1" t="str">
        <f t="shared" si="1"/>
        <v>2 min 35 s</v>
      </c>
      <c r="O12" s="6">
        <f t="shared" si="2"/>
        <v>42.998400000000004</v>
      </c>
      <c r="P12" s="6">
        <f t="shared" si="3"/>
        <v>1.8394059999999999</v>
      </c>
      <c r="Q12" s="4">
        <f t="shared" si="4"/>
        <v>1.7939814814814815E-3</v>
      </c>
      <c r="R12" s="1" t="str">
        <f t="shared" si="5"/>
        <v/>
      </c>
      <c r="S12" s="7" t="str">
        <f t="shared" si="6"/>
        <v/>
      </c>
      <c r="T12" s="1" t="str">
        <f t="shared" si="7"/>
        <v>Referencia</v>
      </c>
    </row>
    <row r="13" spans="1:20" x14ac:dyDescent="0.3">
      <c r="A13" s="9" t="s">
        <v>13</v>
      </c>
      <c r="B13" s="9" t="s">
        <v>22</v>
      </c>
      <c r="C13" s="9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46166.538263888891</v>
      </c>
      <c r="M13" s="21" t="str">
        <f t="shared" si="0"/>
        <v>238829520 -&gt; 5989317 | t=250 | 24/05/2026 12:55</v>
      </c>
      <c r="N13" s="1" t="str">
        <f t="shared" si="1"/>
        <v>2 min 23 s</v>
      </c>
      <c r="O13" s="6">
        <f t="shared" si="2"/>
        <v>46.897199999999998</v>
      </c>
      <c r="P13" s="6">
        <f t="shared" si="3"/>
        <v>1.8498939999999999</v>
      </c>
      <c r="Q13" s="4">
        <f t="shared" si="4"/>
        <v>1.7939814814814815E-3</v>
      </c>
      <c r="R13" s="1" t="str">
        <f t="shared" si="5"/>
        <v>0 min 12 s</v>
      </c>
      <c r="S13" s="7">
        <f t="shared" si="6"/>
        <v>7.7419354838709695E-2</v>
      </c>
      <c r="T13" s="1" t="str">
        <f t="shared" si="7"/>
        <v>Mejora</v>
      </c>
    </row>
    <row r="14" spans="1:20" x14ac:dyDescent="0.3">
      <c r="A14" s="9" t="s">
        <v>13</v>
      </c>
      <c r="B14" s="9" t="s">
        <v>22</v>
      </c>
      <c r="C14" s="9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46166.54173611111</v>
      </c>
      <c r="M14" s="21" t="str">
        <f t="shared" si="0"/>
        <v>238829520 -&gt; 5989317 | t=500 | 24/05/2026 13:00</v>
      </c>
      <c r="N14" s="1" t="str">
        <f t="shared" si="1"/>
        <v>9 min 07 s</v>
      </c>
      <c r="O14" s="6">
        <f t="shared" si="2"/>
        <v>12.1752</v>
      </c>
      <c r="P14" s="6">
        <f t="shared" si="3"/>
        <v>1.846503</v>
      </c>
      <c r="Q14" s="4">
        <f t="shared" si="4"/>
        <v>6.6550925925925927E-3</v>
      </c>
      <c r="R14" s="1" t="str">
        <f t="shared" si="5"/>
        <v>0 min 28 s</v>
      </c>
      <c r="S14" s="7">
        <f t="shared" si="6"/>
        <v>4.8695652173913008E-2</v>
      </c>
      <c r="T14" s="1" t="str">
        <f t="shared" si="7"/>
        <v>Mejora</v>
      </c>
    </row>
    <row r="15" spans="1:20" x14ac:dyDescent="0.3">
      <c r="A15" s="9" t="s">
        <v>12</v>
      </c>
      <c r="B15" s="9" t="s">
        <v>22</v>
      </c>
      <c r="C15" s="9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46166.54173611111</v>
      </c>
      <c r="M15" s="21" t="str">
        <f t="shared" si="0"/>
        <v>238829520 -&gt; 5989317 | t=500 | 24/05/2026 13:00</v>
      </c>
      <c r="N15" s="1" t="str">
        <f t="shared" si="1"/>
        <v>9 min 35 s</v>
      </c>
      <c r="O15" s="6">
        <f t="shared" si="2"/>
        <v>11.5776</v>
      </c>
      <c r="P15" s="6">
        <f t="shared" si="3"/>
        <v>1.845699</v>
      </c>
      <c r="Q15" s="4">
        <f t="shared" si="4"/>
        <v>6.6550925925925927E-3</v>
      </c>
      <c r="R15" s="1" t="str">
        <f t="shared" si="5"/>
        <v/>
      </c>
      <c r="S15" s="7" t="str">
        <f t="shared" si="6"/>
        <v/>
      </c>
      <c r="T15" s="1" t="str">
        <f t="shared" si="7"/>
        <v>Referencia</v>
      </c>
    </row>
    <row r="16" spans="1:20" x14ac:dyDescent="0.3">
      <c r="A16" s="9" t="s">
        <v>13</v>
      </c>
      <c r="B16" s="9" t="s">
        <v>22</v>
      </c>
      <c r="C16" s="9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46166.545208333337</v>
      </c>
      <c r="M16" s="21" t="str">
        <f t="shared" si="0"/>
        <v>238829520 -&gt; 5989317 | t=250 | 24/05/2026 13:05</v>
      </c>
      <c r="N16" s="1" t="str">
        <f t="shared" si="1"/>
        <v>2 min 29 s</v>
      </c>
      <c r="O16" s="6">
        <f t="shared" si="2"/>
        <v>44.712000000000003</v>
      </c>
      <c r="P16" s="6">
        <f t="shared" si="3"/>
        <v>1.8382270000000001</v>
      </c>
      <c r="Q16" s="4">
        <f t="shared" si="4"/>
        <v>1.8865740740740742E-3</v>
      </c>
      <c r="R16" s="1" t="str">
        <f t="shared" si="5"/>
        <v>0 min 14 s</v>
      </c>
      <c r="S16" s="7">
        <f t="shared" si="6"/>
        <v>8.5889570552147285E-2</v>
      </c>
      <c r="T16" s="1" t="str">
        <f t="shared" si="7"/>
        <v>Mejora</v>
      </c>
    </row>
    <row r="17" spans="1:20" x14ac:dyDescent="0.3">
      <c r="A17" s="9" t="s">
        <v>12</v>
      </c>
      <c r="B17" s="9" t="s">
        <v>22</v>
      </c>
      <c r="C17" s="9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46166.545208333337</v>
      </c>
      <c r="M17" s="21" t="str">
        <f t="shared" si="0"/>
        <v>238829520 -&gt; 5989317 | t=250 | 24/05/2026 13:05</v>
      </c>
      <c r="N17" s="1" t="str">
        <f t="shared" si="1"/>
        <v>2 min 43 s</v>
      </c>
      <c r="O17" s="6">
        <f t="shared" si="2"/>
        <v>41.072400000000002</v>
      </c>
      <c r="P17" s="6">
        <f t="shared" si="3"/>
        <v>1.8482499999999999</v>
      </c>
      <c r="Q17" s="4">
        <f t="shared" si="4"/>
        <v>1.8865740740740742E-3</v>
      </c>
      <c r="R17" s="1" t="str">
        <f t="shared" si="5"/>
        <v/>
      </c>
      <c r="S17" s="7" t="str">
        <f t="shared" si="6"/>
        <v/>
      </c>
      <c r="T17" s="1" t="str">
        <f t="shared" si="7"/>
        <v>Referencia</v>
      </c>
    </row>
    <row r="18" spans="1:20" x14ac:dyDescent="0.3">
      <c r="A18" s="9" t="s">
        <v>13</v>
      </c>
      <c r="B18" s="9" t="s">
        <v>22</v>
      </c>
      <c r="C18" s="9" t="s">
        <v>23</v>
      </c>
      <c r="D18" s="9">
        <v>500</v>
      </c>
      <c r="E18" s="9">
        <v>1022</v>
      </c>
      <c r="F18" s="9">
        <v>522</v>
      </c>
      <c r="G18" s="9">
        <v>0</v>
      </c>
      <c r="H18" s="9">
        <v>3.5369999999999999</v>
      </c>
      <c r="I18" s="9">
        <v>1842.9369999999999</v>
      </c>
      <c r="J18" s="9">
        <v>2</v>
      </c>
      <c r="K18" s="9" t="b">
        <v>1</v>
      </c>
      <c r="L18" s="10">
        <v>46166.545208333337</v>
      </c>
      <c r="M18" s="21" t="str">
        <f t="shared" si="0"/>
        <v>238829520 -&gt; 5989317 | t=500 | 24/05/2026 13:05</v>
      </c>
      <c r="N18" s="1" t="str">
        <f t="shared" si="1"/>
        <v>8 min 42 s</v>
      </c>
      <c r="O18" s="6">
        <f t="shared" si="2"/>
        <v>12.7332</v>
      </c>
      <c r="P18" s="6">
        <f t="shared" si="3"/>
        <v>1.8429369999999998</v>
      </c>
      <c r="Q18" s="4">
        <f t="shared" si="4"/>
        <v>6.0879629629629626E-3</v>
      </c>
      <c r="R18" s="1" t="str">
        <f t="shared" si="5"/>
        <v>0 min 04 s</v>
      </c>
      <c r="S18" s="7">
        <f t="shared" si="6"/>
        <v>7.6045627376425404E-3</v>
      </c>
      <c r="T18" s="1" t="str">
        <f t="shared" si="7"/>
        <v>Mejora</v>
      </c>
    </row>
    <row r="19" spans="1:20" x14ac:dyDescent="0.3">
      <c r="A19" s="9" t="s">
        <v>12</v>
      </c>
      <c r="B19" s="9" t="s">
        <v>22</v>
      </c>
      <c r="C19" s="9" t="s">
        <v>23</v>
      </c>
      <c r="D19" s="9">
        <v>500</v>
      </c>
      <c r="E19" s="9">
        <v>1026</v>
      </c>
      <c r="F19" s="9">
        <v>526</v>
      </c>
      <c r="G19" s="9">
        <v>0</v>
      </c>
      <c r="H19" s="9">
        <v>3.5129999999999999</v>
      </c>
      <c r="I19" s="9">
        <v>1844.454</v>
      </c>
      <c r="J19" s="9">
        <v>0</v>
      </c>
      <c r="K19" s="9" t="b">
        <v>1</v>
      </c>
      <c r="L19" s="10">
        <v>46166.545208333337</v>
      </c>
      <c r="M19" s="21" t="str">
        <f t="shared" si="0"/>
        <v>238829520 -&gt; 5989317 | t=500 | 24/05/2026 13:05</v>
      </c>
      <c r="N19" s="1" t="str">
        <f t="shared" si="1"/>
        <v>8 min 46 s</v>
      </c>
      <c r="O19" s="6">
        <f t="shared" si="2"/>
        <v>12.646800000000001</v>
      </c>
      <c r="P19" s="6">
        <f t="shared" si="3"/>
        <v>1.844454</v>
      </c>
      <c r="Q19" s="4">
        <f t="shared" si="4"/>
        <v>6.0879629629629626E-3</v>
      </c>
      <c r="R19" s="1" t="str">
        <f t="shared" si="5"/>
        <v/>
      </c>
      <c r="S19" s="7" t="str">
        <f t="shared" si="6"/>
        <v/>
      </c>
      <c r="T19" s="1" t="str">
        <f t="shared" si="7"/>
        <v>Referencia</v>
      </c>
    </row>
    <row r="20" spans="1:20" x14ac:dyDescent="0.3">
      <c r="A20" s="9" t="s">
        <v>13</v>
      </c>
      <c r="B20" s="9" t="s">
        <v>22</v>
      </c>
      <c r="C20" s="9" t="s">
        <v>23</v>
      </c>
      <c r="D20" s="9">
        <v>500</v>
      </c>
      <c r="E20" s="9">
        <v>1022</v>
      </c>
      <c r="F20" s="9">
        <v>522</v>
      </c>
      <c r="G20" s="9">
        <v>0</v>
      </c>
      <c r="H20" s="9">
        <v>3.5369999999999999</v>
      </c>
      <c r="I20" s="9">
        <v>1842.9369999999999</v>
      </c>
      <c r="J20" s="9">
        <v>2</v>
      </c>
      <c r="K20" s="9" t="b">
        <v>1</v>
      </c>
      <c r="L20" s="10">
        <v>46166.545208333337</v>
      </c>
      <c r="M20" s="21" t="str">
        <f t="shared" si="0"/>
        <v>238829520 -&gt; 5989317 | t=500 | 24/05/2026 13:05</v>
      </c>
      <c r="N20" s="1" t="str">
        <f t="shared" si="1"/>
        <v>8 min 42 s</v>
      </c>
      <c r="O20" s="6">
        <f t="shared" si="2"/>
        <v>12.7332</v>
      </c>
      <c r="P20" s="6">
        <f t="shared" si="3"/>
        <v>1.8429369999999998</v>
      </c>
      <c r="Q20" s="4">
        <f t="shared" si="4"/>
        <v>6.0879629629629626E-3</v>
      </c>
      <c r="R20" s="1" t="str">
        <f t="shared" si="5"/>
        <v>0 min 04 s</v>
      </c>
      <c r="S20" s="7">
        <f t="shared" si="6"/>
        <v>7.6045627376425404E-3</v>
      </c>
      <c r="T20" s="1" t="str">
        <f t="shared" si="7"/>
        <v>Mejora</v>
      </c>
    </row>
    <row r="21" spans="1:20" x14ac:dyDescent="0.3">
      <c r="A21" s="9" t="s">
        <v>12</v>
      </c>
      <c r="B21" s="9" t="s">
        <v>22</v>
      </c>
      <c r="C21" s="9" t="s">
        <v>23</v>
      </c>
      <c r="D21" s="9">
        <v>3000</v>
      </c>
      <c r="E21" s="9">
        <v>3450</v>
      </c>
      <c r="F21" s="9">
        <v>450</v>
      </c>
      <c r="G21" s="9">
        <v>0</v>
      </c>
      <c r="H21" s="9">
        <v>4.1109999999999998</v>
      </c>
      <c r="I21" s="9">
        <v>1845.942</v>
      </c>
      <c r="J21" s="9">
        <v>0</v>
      </c>
      <c r="K21" s="9" t="b">
        <v>1</v>
      </c>
      <c r="L21" s="10">
        <v>46166.552152777775</v>
      </c>
      <c r="M21" s="21" t="str">
        <f t="shared" si="0"/>
        <v>238829520 -&gt; 5989317 | t=3000 | 24/05/2026 13:15</v>
      </c>
      <c r="N21" s="1" t="str">
        <f t="shared" si="1"/>
        <v>7 min 30 s</v>
      </c>
      <c r="O21" s="6">
        <f t="shared" si="2"/>
        <v>14.7996</v>
      </c>
      <c r="P21" s="6">
        <f t="shared" si="3"/>
        <v>1.845942</v>
      </c>
      <c r="Q21" s="4">
        <f t="shared" si="4"/>
        <v>5.208333333333333E-3</v>
      </c>
      <c r="R21" s="1" t="str">
        <f t="shared" si="5"/>
        <v/>
      </c>
      <c r="S21" s="7" t="str">
        <f t="shared" si="6"/>
        <v/>
      </c>
      <c r="T21" s="1" t="str">
        <f t="shared" si="7"/>
        <v>Referencia</v>
      </c>
    </row>
    <row r="22" spans="1:20" x14ac:dyDescent="0.3">
      <c r="A22" s="9" t="s">
        <v>13</v>
      </c>
      <c r="B22" s="9" t="s">
        <v>22</v>
      </c>
      <c r="C22" s="9" t="s">
        <v>23</v>
      </c>
      <c r="D22" s="9">
        <v>3000</v>
      </c>
      <c r="E22" s="9">
        <v>3356</v>
      </c>
      <c r="F22" s="9">
        <v>356</v>
      </c>
      <c r="G22" s="9">
        <v>0</v>
      </c>
      <c r="H22" s="9">
        <v>5.1760000000000002</v>
      </c>
      <c r="I22" s="9">
        <v>1837.328</v>
      </c>
      <c r="J22" s="9">
        <v>5</v>
      </c>
      <c r="K22" s="9" t="b">
        <v>1</v>
      </c>
      <c r="L22" s="10">
        <v>46166.552152777775</v>
      </c>
      <c r="M22" s="21" t="str">
        <f t="shared" si="0"/>
        <v>238829520 -&gt; 5989317 | t=3000 | 24/05/2026 13:15</v>
      </c>
      <c r="N22" s="1" t="str">
        <f t="shared" si="1"/>
        <v>5 min 56 s</v>
      </c>
      <c r="O22" s="6">
        <f t="shared" si="2"/>
        <v>18.633600000000001</v>
      </c>
      <c r="P22" s="6">
        <f t="shared" si="3"/>
        <v>1.8373280000000001</v>
      </c>
      <c r="Q22" s="4">
        <f t="shared" si="4"/>
        <v>5.208333333333333E-3</v>
      </c>
      <c r="R22" s="1" t="str">
        <f t="shared" si="5"/>
        <v>1 min 34 s</v>
      </c>
      <c r="S22" s="7">
        <f t="shared" si="6"/>
        <v>0.20888888888888879</v>
      </c>
      <c r="T22" s="1" t="str">
        <f t="shared" si="7"/>
        <v>Mejora</v>
      </c>
    </row>
    <row r="23" spans="1:20" x14ac:dyDescent="0.3">
      <c r="A23" s="9" t="s">
        <v>12</v>
      </c>
      <c r="B23" s="9" t="s">
        <v>22</v>
      </c>
      <c r="C23" s="9" t="s">
        <v>23</v>
      </c>
      <c r="D23" s="9">
        <v>3300</v>
      </c>
      <c r="E23" s="9">
        <v>3600</v>
      </c>
      <c r="F23" s="9">
        <v>300</v>
      </c>
      <c r="G23" s="9">
        <v>52</v>
      </c>
      <c r="H23" s="9">
        <v>2.2909999999999999</v>
      </c>
      <c r="I23" s="9">
        <v>684.95100000000002</v>
      </c>
      <c r="J23" s="9">
        <v>0</v>
      </c>
      <c r="K23" s="9" t="b">
        <v>0</v>
      </c>
      <c r="L23" s="10">
        <v>46166.555625000001</v>
      </c>
      <c r="M23" s="21" t="str">
        <f t="shared" si="0"/>
        <v>238829520 -&gt; 5989317 | t=3300 | 24/05/2026 13:20</v>
      </c>
      <c r="N23" s="1" t="str">
        <f t="shared" si="1"/>
        <v>5 min 00 s</v>
      </c>
      <c r="O23" s="6">
        <f t="shared" si="2"/>
        <v>8.2476000000000003</v>
      </c>
      <c r="P23" s="6">
        <f t="shared" si="3"/>
        <v>0.68495099999999998</v>
      </c>
      <c r="Q23" s="4" t="str">
        <f t="shared" si="4"/>
        <v/>
      </c>
      <c r="R23" s="1" t="str">
        <f t="shared" si="5"/>
        <v/>
      </c>
      <c r="S23" s="7" t="str">
        <f t="shared" si="6"/>
        <v/>
      </c>
      <c r="T23" s="1" t="str">
        <f t="shared" si="7"/>
        <v>No llega</v>
      </c>
    </row>
    <row r="24" spans="1:20" x14ac:dyDescent="0.3">
      <c r="A24" s="9" t="s">
        <v>13</v>
      </c>
      <c r="B24" s="9" t="s">
        <v>22</v>
      </c>
      <c r="C24" s="9" t="s">
        <v>23</v>
      </c>
      <c r="D24" s="9">
        <v>3300</v>
      </c>
      <c r="E24" s="9">
        <v>3534</v>
      </c>
      <c r="F24" s="9">
        <v>234</v>
      </c>
      <c r="G24" s="9">
        <v>0</v>
      </c>
      <c r="H24" s="9">
        <v>7.8929999999999998</v>
      </c>
      <c r="I24" s="9">
        <v>1839.069</v>
      </c>
      <c r="J24" s="9">
        <v>5</v>
      </c>
      <c r="K24" s="9" t="b">
        <v>1</v>
      </c>
      <c r="L24" s="10">
        <v>46166.55909722222</v>
      </c>
      <c r="M24" s="21" t="str">
        <f t="shared" si="0"/>
        <v>238829520 -&gt; 5989317 | t=3300 | 24/05/2026 13:25</v>
      </c>
      <c r="N24" s="1" t="str">
        <f t="shared" si="1"/>
        <v>3 min 54 s</v>
      </c>
      <c r="O24" s="6">
        <f t="shared" si="2"/>
        <v>28.4148</v>
      </c>
      <c r="P24" s="6">
        <f t="shared" si="3"/>
        <v>1.8390690000000001</v>
      </c>
      <c r="Q24" s="4" t="str">
        <f t="shared" si="4"/>
        <v/>
      </c>
      <c r="R24" s="1" t="str">
        <f t="shared" si="5"/>
        <v/>
      </c>
      <c r="S24" s="7" t="str">
        <f t="shared" si="6"/>
        <v/>
      </c>
      <c r="T24" s="1" t="str">
        <f t="shared" si="7"/>
        <v>Sin referencia</v>
      </c>
    </row>
    <row r="25" spans="1:20" x14ac:dyDescent="0.3">
      <c r="A25" s="9" t="s">
        <v>12</v>
      </c>
      <c r="B25" s="9" t="s">
        <v>22</v>
      </c>
      <c r="C25" s="9" t="s">
        <v>23</v>
      </c>
      <c r="D25" s="9">
        <v>3450</v>
      </c>
      <c r="E25" s="9">
        <v>3600</v>
      </c>
      <c r="F25" s="9">
        <v>150</v>
      </c>
      <c r="G25" s="9">
        <v>13</v>
      </c>
      <c r="H25" s="9">
        <v>5.1189999999999998</v>
      </c>
      <c r="I25" s="9">
        <v>762.803</v>
      </c>
      <c r="J25" s="9">
        <v>0</v>
      </c>
      <c r="K25" s="9" t="b">
        <v>0</v>
      </c>
      <c r="L25" s="10">
        <v>46166.55909722222</v>
      </c>
      <c r="M25" s="21" t="str">
        <f t="shared" si="0"/>
        <v>238829520 -&gt; 5989317 | t=3450 | 24/05/2026 13:25</v>
      </c>
      <c r="N25" s="1" t="str">
        <f t="shared" si="1"/>
        <v>2 min 30 s</v>
      </c>
      <c r="O25" s="6">
        <f t="shared" si="2"/>
        <v>18.4284</v>
      </c>
      <c r="P25" s="6">
        <f t="shared" si="3"/>
        <v>0.76280300000000001</v>
      </c>
      <c r="Q25" s="4" t="str">
        <f t="shared" si="4"/>
        <v/>
      </c>
      <c r="R25" s="1" t="str">
        <f t="shared" si="5"/>
        <v/>
      </c>
      <c r="S25" s="7" t="str">
        <f t="shared" si="6"/>
        <v/>
      </c>
      <c r="T25" s="1" t="str">
        <f t="shared" si="7"/>
        <v>No llega</v>
      </c>
    </row>
    <row r="26" spans="1:20" x14ac:dyDescent="0.3">
      <c r="A26" s="9" t="s">
        <v>13</v>
      </c>
      <c r="B26" s="9" t="s">
        <v>22</v>
      </c>
      <c r="C26" s="9" t="s">
        <v>23</v>
      </c>
      <c r="D26" s="9">
        <v>3450</v>
      </c>
      <c r="E26" s="9">
        <v>3600</v>
      </c>
      <c r="F26" s="9">
        <v>150</v>
      </c>
      <c r="G26" s="9">
        <v>5</v>
      </c>
      <c r="H26" s="9">
        <v>5.056</v>
      </c>
      <c r="I26" s="9">
        <v>753.39200000000005</v>
      </c>
      <c r="J26" s="9">
        <v>1</v>
      </c>
      <c r="K26" s="9" t="b">
        <v>0</v>
      </c>
      <c r="L26" s="10">
        <v>46166.55909722222</v>
      </c>
      <c r="M26" s="21" t="str">
        <f t="shared" si="0"/>
        <v>238829520 -&gt; 5989317 | t=3450 | 24/05/2026 13:25</v>
      </c>
      <c r="N26" s="1" t="str">
        <f t="shared" si="1"/>
        <v>2 min 30 s</v>
      </c>
      <c r="O26" s="6">
        <f t="shared" si="2"/>
        <v>18.201599999999999</v>
      </c>
      <c r="P26" s="6">
        <f t="shared" si="3"/>
        <v>0.75339200000000006</v>
      </c>
      <c r="Q26" s="4" t="str">
        <f t="shared" si="4"/>
        <v/>
      </c>
      <c r="R26" s="1" t="str">
        <f t="shared" si="5"/>
        <v/>
      </c>
      <c r="S26" s="7" t="str">
        <f t="shared" si="6"/>
        <v/>
      </c>
      <c r="T26" s="1" t="str">
        <f t="shared" si="7"/>
        <v>No llega</v>
      </c>
    </row>
    <row r="27" spans="1:20" x14ac:dyDescent="0.3">
      <c r="A27" s="9" t="s">
        <v>12</v>
      </c>
      <c r="B27" s="9" t="s">
        <v>22</v>
      </c>
      <c r="C27" s="9" t="s">
        <v>23</v>
      </c>
      <c r="D27" s="9">
        <v>250</v>
      </c>
      <c r="E27" s="9">
        <v>480</v>
      </c>
      <c r="F27" s="9">
        <v>230</v>
      </c>
      <c r="G27" s="9">
        <v>0</v>
      </c>
      <c r="H27" s="9">
        <v>8.0210000000000008</v>
      </c>
      <c r="I27" s="9">
        <v>1836.752</v>
      </c>
      <c r="J27" s="9">
        <v>0</v>
      </c>
      <c r="K27" s="9" t="b">
        <v>1</v>
      </c>
      <c r="L27" s="10">
        <v>46166.55909722222</v>
      </c>
      <c r="M27" s="21" t="str">
        <f t="shared" si="0"/>
        <v>238829520 -&gt; 5989317 | t=250 | 24/05/2026 13:25</v>
      </c>
      <c r="N27" s="1" t="str">
        <f t="shared" si="1"/>
        <v>3 min 50 s</v>
      </c>
      <c r="O27" s="6">
        <f t="shared" si="2"/>
        <v>28.875600000000002</v>
      </c>
      <c r="P27" s="6">
        <f t="shared" si="3"/>
        <v>1.8367519999999999</v>
      </c>
      <c r="Q27" s="4">
        <f t="shared" si="4"/>
        <v>2.662037037037037E-3</v>
      </c>
      <c r="R27" s="1" t="str">
        <f t="shared" si="5"/>
        <v/>
      </c>
      <c r="S27" s="7" t="str">
        <f t="shared" si="6"/>
        <v/>
      </c>
      <c r="T27" s="1" t="str">
        <f t="shared" si="7"/>
        <v>Referencia</v>
      </c>
    </row>
    <row r="28" spans="1:20" x14ac:dyDescent="0.3">
      <c r="A28" s="9" t="s">
        <v>13</v>
      </c>
      <c r="B28" s="9" t="s">
        <v>22</v>
      </c>
      <c r="C28" s="9" t="s">
        <v>23</v>
      </c>
      <c r="D28" s="9">
        <v>250</v>
      </c>
      <c r="E28" s="9">
        <v>408</v>
      </c>
      <c r="F28" s="9">
        <v>158</v>
      </c>
      <c r="G28" s="9">
        <v>0</v>
      </c>
      <c r="H28" s="9">
        <v>11.71</v>
      </c>
      <c r="I28" s="9">
        <v>1838.4390000000001</v>
      </c>
      <c r="J28" s="9">
        <v>3</v>
      </c>
      <c r="K28" s="9" t="b">
        <v>1</v>
      </c>
      <c r="L28" s="10">
        <v>46166.55909722222</v>
      </c>
      <c r="M28" s="21" t="str">
        <f t="shared" si="0"/>
        <v>238829520 -&gt; 5989317 | t=250 | 24/05/2026 13:25</v>
      </c>
      <c r="N28" s="1" t="str">
        <f t="shared" si="1"/>
        <v>2 min 38 s</v>
      </c>
      <c r="O28" s="6">
        <f t="shared" si="2"/>
        <v>42.156000000000006</v>
      </c>
      <c r="P28" s="6">
        <f t="shared" si="3"/>
        <v>1.8384390000000002</v>
      </c>
      <c r="Q28" s="4">
        <f t="shared" si="4"/>
        <v>2.662037037037037E-3</v>
      </c>
      <c r="R28" s="1" t="str">
        <f t="shared" si="5"/>
        <v>1 min 12 s</v>
      </c>
      <c r="S28" s="7">
        <f t="shared" si="6"/>
        <v>0.31304347826086953</v>
      </c>
      <c r="T28" s="1" t="str">
        <f t="shared" si="7"/>
        <v>Mejora</v>
      </c>
    </row>
    <row r="29" spans="1:20" x14ac:dyDescent="0.3">
      <c r="A29" s="9" t="s">
        <v>12</v>
      </c>
      <c r="B29" s="9" t="s">
        <v>22</v>
      </c>
      <c r="C29" s="9" t="s">
        <v>24</v>
      </c>
      <c r="D29" s="9">
        <v>250</v>
      </c>
      <c r="E29" s="9">
        <v>429</v>
      </c>
      <c r="F29" s="9">
        <v>179</v>
      </c>
      <c r="G29" s="9">
        <v>0</v>
      </c>
      <c r="H29" s="9">
        <v>8.4629999999999992</v>
      </c>
      <c r="I29" s="9">
        <v>1506.4580000000001</v>
      </c>
      <c r="J29" s="9">
        <v>0</v>
      </c>
      <c r="K29" s="9" t="b">
        <v>1</v>
      </c>
      <c r="L29" s="10">
        <v>46166.562569444446</v>
      </c>
      <c r="M29" s="21" t="str">
        <f t="shared" si="0"/>
        <v>238829520 -&gt; 5990070#1 | t=250 | 24/05/2026 13:30</v>
      </c>
      <c r="N29" s="1" t="str">
        <f t="shared" si="1"/>
        <v>2 min 59 s</v>
      </c>
      <c r="O29" s="6">
        <f t="shared" si="2"/>
        <v>30.466799999999999</v>
      </c>
      <c r="P29" s="6">
        <f t="shared" si="3"/>
        <v>1.5064580000000001</v>
      </c>
      <c r="Q29" s="4">
        <f t="shared" si="4"/>
        <v>2.0717592592592593E-3</v>
      </c>
      <c r="R29" s="1" t="str">
        <f t="shared" si="5"/>
        <v/>
      </c>
      <c r="S29" s="7" t="str">
        <f t="shared" si="6"/>
        <v/>
      </c>
      <c r="T29" s="1" t="str">
        <f t="shared" si="7"/>
        <v>Referencia</v>
      </c>
    </row>
    <row r="30" spans="1:20" x14ac:dyDescent="0.3">
      <c r="A30" s="9" t="s">
        <v>13</v>
      </c>
      <c r="B30" s="9" t="s">
        <v>22</v>
      </c>
      <c r="C30" s="9" t="s">
        <v>24</v>
      </c>
      <c r="D30" s="9">
        <v>250</v>
      </c>
      <c r="E30" s="9">
        <v>376</v>
      </c>
      <c r="F30" s="9">
        <v>126</v>
      </c>
      <c r="G30" s="9">
        <v>0</v>
      </c>
      <c r="H30" s="9">
        <v>12.087</v>
      </c>
      <c r="I30" s="9">
        <v>1510.838</v>
      </c>
      <c r="J30" s="9">
        <v>2</v>
      </c>
      <c r="K30" s="9" t="b">
        <v>1</v>
      </c>
      <c r="L30" s="10">
        <v>46166.562569444446</v>
      </c>
      <c r="M30" s="21" t="str">
        <f t="shared" si="0"/>
        <v>238829520 -&gt; 5990070#1 | t=250 | 24/05/2026 13:30</v>
      </c>
      <c r="N30" s="1" t="str">
        <f t="shared" si="1"/>
        <v>2 min 06 s</v>
      </c>
      <c r="O30" s="6">
        <f t="shared" si="2"/>
        <v>43.513199999999998</v>
      </c>
      <c r="P30" s="6">
        <f t="shared" si="3"/>
        <v>1.5108379999999999</v>
      </c>
      <c r="Q30" s="4">
        <f t="shared" si="4"/>
        <v>2.0717592592592593E-3</v>
      </c>
      <c r="R30" s="1" t="str">
        <f t="shared" si="5"/>
        <v>0 min 53 s</v>
      </c>
      <c r="S30" s="7">
        <f t="shared" si="6"/>
        <v>0.2960893854748603</v>
      </c>
      <c r="T30" s="1" t="str">
        <f t="shared" si="7"/>
        <v>Mejora</v>
      </c>
    </row>
    <row r="31" spans="1:20" x14ac:dyDescent="0.3">
      <c r="A31" s="9" t="s">
        <v>12</v>
      </c>
      <c r="B31" s="9" t="s">
        <v>22</v>
      </c>
      <c r="C31" s="9" t="s">
        <v>24</v>
      </c>
      <c r="D31" s="9">
        <v>1000</v>
      </c>
      <c r="E31" s="9">
        <v>1325</v>
      </c>
      <c r="F31" s="9">
        <v>325</v>
      </c>
      <c r="G31" s="9">
        <v>0</v>
      </c>
      <c r="H31" s="9">
        <v>4.6479999999999997</v>
      </c>
      <c r="I31" s="9">
        <v>1505.846</v>
      </c>
      <c r="J31" s="9">
        <v>0</v>
      </c>
      <c r="K31" s="9" t="b">
        <v>1</v>
      </c>
      <c r="L31" s="10">
        <v>46166.566041666665</v>
      </c>
      <c r="M31" s="21" t="str">
        <f t="shared" si="0"/>
        <v>238829520 -&gt; 5990070#1 | t=1000 | 24/05/2026 13:35</v>
      </c>
      <c r="N31" s="1" t="str">
        <f t="shared" si="1"/>
        <v>5 min 25 s</v>
      </c>
      <c r="O31" s="6">
        <f t="shared" si="2"/>
        <v>16.732800000000001</v>
      </c>
      <c r="P31" s="6">
        <f t="shared" si="3"/>
        <v>1.505846</v>
      </c>
      <c r="Q31" s="4">
        <f t="shared" si="4"/>
        <v>3.7615740740740739E-3</v>
      </c>
      <c r="R31" s="1" t="str">
        <f t="shared" si="5"/>
        <v/>
      </c>
      <c r="S31" s="7" t="str">
        <f t="shared" si="6"/>
        <v/>
      </c>
      <c r="T31" s="1" t="str">
        <f t="shared" si="7"/>
        <v>Referencia</v>
      </c>
    </row>
    <row r="32" spans="1:20" x14ac:dyDescent="0.3">
      <c r="A32" s="9" t="s">
        <v>13</v>
      </c>
      <c r="B32" s="9" t="s">
        <v>22</v>
      </c>
      <c r="C32" s="9" t="s">
        <v>24</v>
      </c>
      <c r="D32" s="9">
        <v>1000</v>
      </c>
      <c r="E32" s="9">
        <v>1329</v>
      </c>
      <c r="F32" s="9">
        <v>329</v>
      </c>
      <c r="G32" s="9">
        <v>0</v>
      </c>
      <c r="H32" s="9">
        <v>4.5949999999999998</v>
      </c>
      <c r="I32" s="9">
        <v>1507.204</v>
      </c>
      <c r="J32" s="9">
        <v>4</v>
      </c>
      <c r="K32" s="9" t="b">
        <v>1</v>
      </c>
      <c r="L32" s="10">
        <v>46166.566041666665</v>
      </c>
      <c r="M32" s="21" t="str">
        <f t="shared" si="0"/>
        <v>238829520 -&gt; 5990070#1 | t=1000 | 24/05/2026 13:35</v>
      </c>
      <c r="N32" s="1" t="str">
        <f t="shared" si="1"/>
        <v>5 min 29 s</v>
      </c>
      <c r="O32" s="6">
        <f t="shared" si="2"/>
        <v>16.541999999999998</v>
      </c>
      <c r="P32" s="6">
        <f t="shared" si="3"/>
        <v>1.507204</v>
      </c>
      <c r="Q32" s="4">
        <f t="shared" si="4"/>
        <v>3.7615740740740739E-3</v>
      </c>
      <c r="R32" s="1" t="str">
        <f t="shared" si="5"/>
        <v>-0 min 04 s</v>
      </c>
      <c r="S32" s="7">
        <f t="shared" si="6"/>
        <v>-1.2307692307692349E-2</v>
      </c>
      <c r="T32" s="1" t="str">
        <f t="shared" si="7"/>
        <v>Empeora</v>
      </c>
    </row>
    <row r="33" spans="1:20" x14ac:dyDescent="0.3">
      <c r="A33" s="9" t="s">
        <v>12</v>
      </c>
      <c r="B33" s="9" t="s">
        <v>22</v>
      </c>
      <c r="C33" s="9" t="s">
        <v>24</v>
      </c>
      <c r="D33" s="9">
        <v>2000</v>
      </c>
      <c r="E33" s="9">
        <v>2366</v>
      </c>
      <c r="F33" s="9">
        <v>366</v>
      </c>
      <c r="G33" s="9">
        <v>0</v>
      </c>
      <c r="H33" s="9">
        <v>4.1280000000000001</v>
      </c>
      <c r="I33" s="9">
        <v>1506.665</v>
      </c>
      <c r="J33" s="9">
        <v>0</v>
      </c>
      <c r="K33" s="9" t="b">
        <v>1</v>
      </c>
      <c r="L33" s="10">
        <v>46166.566041666665</v>
      </c>
      <c r="M33" s="21" t="str">
        <f t="shared" si="0"/>
        <v>238829520 -&gt; 5990070#1 | t=2000 | 24/05/2026 13:35</v>
      </c>
      <c r="N33" s="1" t="str">
        <f t="shared" si="1"/>
        <v>6 min 06 s</v>
      </c>
      <c r="O33" s="6">
        <f t="shared" si="2"/>
        <v>14.860800000000001</v>
      </c>
      <c r="P33" s="6">
        <f t="shared" si="3"/>
        <v>1.5066649999999999</v>
      </c>
      <c r="Q33" s="4">
        <f t="shared" si="4"/>
        <v>4.2361111111111115E-3</v>
      </c>
      <c r="R33" s="1" t="str">
        <f t="shared" si="5"/>
        <v/>
      </c>
      <c r="S33" s="7" t="str">
        <f t="shared" si="6"/>
        <v/>
      </c>
      <c r="T33" s="1" t="str">
        <f t="shared" si="7"/>
        <v>Referencia</v>
      </c>
    </row>
    <row r="34" spans="1:20" x14ac:dyDescent="0.3">
      <c r="A34" s="9" t="s">
        <v>13</v>
      </c>
      <c r="B34" s="9" t="s">
        <v>22</v>
      </c>
      <c r="C34" s="9" t="s">
        <v>24</v>
      </c>
      <c r="D34" s="9">
        <v>2000</v>
      </c>
      <c r="E34" s="9">
        <v>2181</v>
      </c>
      <c r="F34" s="9">
        <v>181</v>
      </c>
      <c r="G34" s="9">
        <v>0</v>
      </c>
      <c r="H34" s="9">
        <v>8.3610000000000007</v>
      </c>
      <c r="I34" s="9">
        <v>1504.9459999999999</v>
      </c>
      <c r="J34" s="9">
        <v>4</v>
      </c>
      <c r="K34" s="9" t="b">
        <v>1</v>
      </c>
      <c r="L34" s="10">
        <v>46166.566041666665</v>
      </c>
      <c r="M34" s="21" t="str">
        <f t="shared" si="0"/>
        <v>238829520 -&gt; 5990070#1 | t=2000 | 24/05/2026 13:35</v>
      </c>
      <c r="N34" s="1" t="str">
        <f t="shared" si="1"/>
        <v>3 min 01 s</v>
      </c>
      <c r="O34" s="6">
        <f t="shared" si="2"/>
        <v>30.099600000000002</v>
      </c>
      <c r="P34" s="6">
        <f t="shared" si="3"/>
        <v>1.5049459999999999</v>
      </c>
      <c r="Q34" s="4">
        <f t="shared" si="4"/>
        <v>4.2361111111111115E-3</v>
      </c>
      <c r="R34" s="1" t="str">
        <f t="shared" si="5"/>
        <v>3 min 05 s</v>
      </c>
      <c r="S34" s="7">
        <f t="shared" si="6"/>
        <v>0.50546448087431706</v>
      </c>
      <c r="T34" s="1" t="str">
        <f t="shared" si="7"/>
        <v>Mejora</v>
      </c>
    </row>
    <row r="35" spans="1:20" x14ac:dyDescent="0.3">
      <c r="A35" s="9" t="s">
        <v>12</v>
      </c>
      <c r="B35" s="9" t="s">
        <v>22</v>
      </c>
      <c r="C35" s="9" t="s">
        <v>24</v>
      </c>
      <c r="D35" s="9">
        <v>3000</v>
      </c>
      <c r="E35" s="9">
        <v>3134</v>
      </c>
      <c r="F35" s="9">
        <v>134</v>
      </c>
      <c r="G35" s="9">
        <v>0</v>
      </c>
      <c r="H35" s="9">
        <v>11.333</v>
      </c>
      <c r="I35" s="9">
        <v>1507.317</v>
      </c>
      <c r="J35" s="9">
        <v>0</v>
      </c>
      <c r="K35" s="9" t="b">
        <v>1</v>
      </c>
      <c r="L35" s="10">
        <v>46166.566041666665</v>
      </c>
      <c r="M35" s="21" t="str">
        <f t="shared" si="0"/>
        <v>238829520 -&gt; 5990070#1 | t=3000 | 24/05/2026 13:35</v>
      </c>
      <c r="N35" s="1" t="str">
        <f t="shared" si="1"/>
        <v>2 min 14 s</v>
      </c>
      <c r="O35" s="6">
        <f t="shared" si="2"/>
        <v>40.7988</v>
      </c>
      <c r="P35" s="6">
        <f t="shared" si="3"/>
        <v>1.507317</v>
      </c>
      <c r="Q35" s="4">
        <f t="shared" si="4"/>
        <v>1.5509259259259259E-3</v>
      </c>
      <c r="R35" s="1" t="str">
        <f t="shared" si="5"/>
        <v/>
      </c>
      <c r="S35" s="7" t="str">
        <f t="shared" si="6"/>
        <v/>
      </c>
      <c r="T35" s="1" t="str">
        <f t="shared" si="7"/>
        <v>Referencia</v>
      </c>
    </row>
    <row r="36" spans="1:20" x14ac:dyDescent="0.3">
      <c r="A36" s="9" t="s">
        <v>13</v>
      </c>
      <c r="B36" s="9" t="s">
        <v>22</v>
      </c>
      <c r="C36" s="9" t="s">
        <v>24</v>
      </c>
      <c r="D36" s="9">
        <v>3000</v>
      </c>
      <c r="E36" s="9">
        <v>3119</v>
      </c>
      <c r="F36" s="9">
        <v>119</v>
      </c>
      <c r="G36" s="9">
        <v>0</v>
      </c>
      <c r="H36" s="9">
        <v>12.79</v>
      </c>
      <c r="I36" s="9">
        <v>1509.202</v>
      </c>
      <c r="J36" s="9">
        <v>2</v>
      </c>
      <c r="K36" s="9" t="b">
        <v>1</v>
      </c>
      <c r="L36" s="10">
        <v>46166.566041666665</v>
      </c>
      <c r="M36" s="21" t="str">
        <f t="shared" si="0"/>
        <v>238829520 -&gt; 5990070#1 | t=3000 | 24/05/2026 13:35</v>
      </c>
      <c r="N36" s="23" t="str">
        <f t="shared" si="1"/>
        <v>1 min 59 s</v>
      </c>
      <c r="O36" s="12">
        <f t="shared" si="2"/>
        <v>46.043999999999997</v>
      </c>
      <c r="P36" s="12">
        <f t="shared" si="3"/>
        <v>1.5092019999999999</v>
      </c>
      <c r="Q36" s="20">
        <f t="shared" si="4"/>
        <v>1.5509259259259259E-3</v>
      </c>
      <c r="R36" s="23" t="str">
        <f t="shared" si="5"/>
        <v>0 min 15 s</v>
      </c>
      <c r="S36" s="15">
        <f t="shared" si="6"/>
        <v>0.11194029850746272</v>
      </c>
      <c r="T36" s="23" t="str">
        <f t="shared" si="7"/>
        <v>Mejora</v>
      </c>
    </row>
    <row r="37" spans="1:20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3"/>
      <c r="M37" s="2"/>
      <c r="N37" s="1"/>
      <c r="O37" s="6"/>
      <c r="P37" s="6"/>
      <c r="Q37" s="4"/>
      <c r="R37" s="1"/>
      <c r="S37" s="7"/>
      <c r="T37" s="1"/>
    </row>
    <row r="38" spans="1:20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3"/>
      <c r="M38" s="2"/>
      <c r="N38" s="1"/>
      <c r="O38" s="6"/>
      <c r="P38" s="6"/>
      <c r="Q38" s="4"/>
      <c r="R38" s="1"/>
      <c r="S38" s="7"/>
      <c r="T38" s="1"/>
    </row>
    <row r="39" spans="1:20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3"/>
      <c r="M39" s="2"/>
      <c r="N39" s="1"/>
      <c r="O39" s="6"/>
      <c r="P39" s="6"/>
      <c r="Q39" s="4"/>
      <c r="R39" s="1"/>
      <c r="S39" s="7"/>
      <c r="T39" s="1"/>
    </row>
    <row r="40" spans="1:20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3"/>
      <c r="M40" s="2"/>
      <c r="N40" s="1"/>
      <c r="O40" s="6"/>
      <c r="P40" s="6"/>
      <c r="Q40" s="4"/>
      <c r="R40" s="1"/>
      <c r="S40" s="7"/>
      <c r="T40" s="1"/>
    </row>
    <row r="41" spans="1:20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3"/>
      <c r="M41" s="2"/>
      <c r="N41" s="1"/>
      <c r="O41" s="6"/>
      <c r="P41" s="6"/>
      <c r="Q41" s="4"/>
      <c r="R41" s="1"/>
      <c r="S41" s="7"/>
      <c r="T41" s="1"/>
    </row>
    <row r="42" spans="1:20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3"/>
      <c r="M42" s="2"/>
      <c r="N42" s="1"/>
      <c r="O42" s="6"/>
      <c r="P42" s="6"/>
      <c r="Q42" s="4"/>
      <c r="R42" s="1"/>
      <c r="S42" s="7"/>
      <c r="T42" s="1"/>
    </row>
    <row r="43" spans="1:20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3"/>
      <c r="M43" s="2"/>
      <c r="N43" s="1"/>
      <c r="O43" s="6"/>
      <c r="P43" s="6"/>
      <c r="Q43" s="4"/>
      <c r="R43" s="1"/>
      <c r="S43" s="7"/>
      <c r="T43" s="1"/>
    </row>
    <row r="44" spans="1:20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3"/>
      <c r="M44" s="2"/>
      <c r="N44" s="1"/>
      <c r="O44" s="6"/>
      <c r="P44" s="6"/>
      <c r="Q44" s="4"/>
      <c r="R44" s="1"/>
      <c r="S44" s="7"/>
      <c r="T44" s="1"/>
    </row>
    <row r="45" spans="1:20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3"/>
      <c r="M45" s="2"/>
      <c r="N45" s="1"/>
      <c r="O45" s="6"/>
      <c r="P45" s="6"/>
      <c r="Q45" s="4"/>
      <c r="R45" s="1"/>
      <c r="S45" s="7"/>
      <c r="T45" s="1"/>
    </row>
    <row r="46" spans="1:20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3"/>
      <c r="M46" s="2"/>
      <c r="N46" s="1"/>
      <c r="O46" s="6"/>
      <c r="P46" s="6"/>
      <c r="Q46" s="4"/>
      <c r="R46" s="1"/>
      <c r="S46" s="7"/>
      <c r="T46" s="1"/>
    </row>
    <row r="47" spans="1:20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3"/>
      <c r="M47" s="2"/>
      <c r="N47" s="1"/>
      <c r="O47" s="6"/>
      <c r="P47" s="6"/>
      <c r="Q47" s="4"/>
      <c r="R47" s="1"/>
      <c r="S47" s="7"/>
      <c r="T47" s="1"/>
    </row>
    <row r="48" spans="1:20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3"/>
      <c r="M48" s="2"/>
      <c r="N48" s="1"/>
      <c r="O48" s="6"/>
      <c r="P48" s="6"/>
      <c r="Q48" s="4"/>
      <c r="R48" s="1"/>
      <c r="S48" s="7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3"/>
      <c r="M49" s="2"/>
      <c r="N49" s="1"/>
      <c r="O49" s="6"/>
      <c r="P49" s="6"/>
      <c r="Q49" s="4"/>
      <c r="R49" s="1"/>
      <c r="S49" s="7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3"/>
      <c r="M50" s="2"/>
      <c r="N50" s="1"/>
      <c r="O50" s="6"/>
      <c r="P50" s="6"/>
      <c r="Q50" s="4"/>
      <c r="R50" s="1"/>
      <c r="S50" s="7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3"/>
      <c r="M51" s="2"/>
      <c r="N51" s="1"/>
      <c r="O51" s="6"/>
      <c r="P51" s="6"/>
      <c r="Q51" s="4"/>
      <c r="R51" s="1"/>
      <c r="S51" s="7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3"/>
      <c r="M52" s="2"/>
      <c r="N52" s="1"/>
      <c r="O52" s="6"/>
      <c r="P52" s="6"/>
      <c r="Q52" s="4"/>
      <c r="R52" s="1"/>
      <c r="S52" s="7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3"/>
      <c r="M53" s="2"/>
      <c r="N53" s="1"/>
      <c r="O53" s="6"/>
      <c r="P53" s="6"/>
      <c r="Q53" s="4"/>
      <c r="R53" s="1"/>
      <c r="S53" s="7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3"/>
      <c r="M54" s="2"/>
      <c r="N54" s="1"/>
      <c r="O54" s="6"/>
      <c r="P54" s="6"/>
      <c r="Q54" s="4"/>
      <c r="R54" s="1"/>
      <c r="S54" s="7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3"/>
      <c r="M55" s="2"/>
      <c r="N55" s="1"/>
      <c r="O55" s="6"/>
      <c r="P55" s="6"/>
      <c r="Q55" s="4"/>
      <c r="R55" s="1"/>
      <c r="S55" s="7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3"/>
      <c r="M56" s="2"/>
      <c r="N56" s="1"/>
      <c r="O56" s="6"/>
      <c r="P56" s="6"/>
      <c r="Q56" s="4"/>
      <c r="R56" s="1"/>
      <c r="S56" s="7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3"/>
      <c r="M57" s="2"/>
      <c r="N57" s="1"/>
      <c r="O57" s="6"/>
      <c r="P57" s="6"/>
      <c r="Q57" s="4"/>
      <c r="R57" s="1"/>
      <c r="S57" s="7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3"/>
      <c r="M58" s="2"/>
      <c r="N58" s="1"/>
      <c r="O58" s="6"/>
      <c r="P58" s="6"/>
      <c r="Q58" s="4"/>
      <c r="R58" s="1"/>
      <c r="S58" s="7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3"/>
      <c r="M59" s="2"/>
      <c r="N59" s="1"/>
      <c r="O59" s="6"/>
      <c r="P59" s="6"/>
      <c r="Q59" s="4"/>
      <c r="R59" s="1"/>
      <c r="S59" s="7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3"/>
      <c r="M60" s="2"/>
      <c r="N60" s="1"/>
      <c r="O60" s="6"/>
      <c r="P60" s="6"/>
      <c r="Q60" s="4"/>
      <c r="R60" s="1"/>
      <c r="S60" s="7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3"/>
      <c r="M61" s="2"/>
      <c r="N61" s="1"/>
      <c r="O61" s="6"/>
      <c r="P61" s="6"/>
      <c r="Q61" s="4"/>
      <c r="R61" s="1"/>
      <c r="S61" s="7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3"/>
      <c r="M62" s="2"/>
      <c r="N62" s="1"/>
      <c r="O62" s="6"/>
      <c r="P62" s="6"/>
      <c r="Q62" s="4"/>
      <c r="R62" s="1"/>
      <c r="S62" s="7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3"/>
      <c r="M63" s="2"/>
      <c r="N63" s="1"/>
      <c r="O63" s="6"/>
      <c r="P63" s="6"/>
      <c r="Q63" s="4"/>
      <c r="R63" s="1"/>
      <c r="S63" s="7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3"/>
      <c r="M64" s="2"/>
      <c r="N64" s="1"/>
      <c r="O64" s="6"/>
      <c r="P64" s="6"/>
      <c r="Q64" s="4"/>
      <c r="R64" s="1"/>
      <c r="S64" s="7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3"/>
      <c r="M65" s="2"/>
      <c r="N65" s="1"/>
      <c r="O65" s="6"/>
      <c r="P65" s="6"/>
      <c r="Q65" s="4"/>
      <c r="R65" s="1"/>
      <c r="S65" s="7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3"/>
      <c r="M66" s="2"/>
      <c r="N66" s="1"/>
      <c r="O66" s="6"/>
      <c r="P66" s="6"/>
      <c r="Q66" s="4"/>
      <c r="R66" s="1"/>
      <c r="S66" s="7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3"/>
      <c r="M67" s="2"/>
      <c r="N67" s="1"/>
      <c r="O67" s="6"/>
      <c r="P67" s="6"/>
      <c r="Q67" s="4"/>
      <c r="R67" s="1"/>
      <c r="S67" s="7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3"/>
      <c r="M68" s="2"/>
      <c r="N68" s="1"/>
      <c r="O68" s="6"/>
      <c r="P68" s="6"/>
      <c r="Q68" s="4"/>
      <c r="R68" s="1"/>
      <c r="S68" s="7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3"/>
      <c r="M69" s="2"/>
      <c r="N69" s="1"/>
      <c r="O69" s="6"/>
      <c r="P69" s="6"/>
      <c r="Q69" s="4"/>
      <c r="R69" s="1"/>
      <c r="S69" s="7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3"/>
      <c r="M70" s="2"/>
      <c r="N70" s="1"/>
      <c r="O70" s="6"/>
      <c r="P70" s="6"/>
      <c r="Q70" s="4"/>
      <c r="R70" s="1"/>
      <c r="S70" s="7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3"/>
      <c r="M71" s="2"/>
      <c r="N71" s="1"/>
      <c r="O71" s="6"/>
      <c r="P71" s="6"/>
      <c r="Q71" s="4"/>
      <c r="R71" s="1"/>
      <c r="S71" s="7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3"/>
      <c r="M72" s="2"/>
      <c r="N72" s="1"/>
      <c r="O72" s="6"/>
      <c r="P72" s="6"/>
      <c r="Q72" s="4"/>
      <c r="R72" s="1"/>
      <c r="S72" s="7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3"/>
      <c r="M73" s="2"/>
      <c r="N73" s="1"/>
      <c r="O73" s="6"/>
      <c r="P73" s="6"/>
      <c r="Q73" s="4"/>
      <c r="R73" s="1"/>
      <c r="S73" s="7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3"/>
      <c r="M74" s="2"/>
      <c r="N74" s="1"/>
      <c r="O74" s="6"/>
      <c r="P74" s="6"/>
      <c r="Q74" s="4"/>
      <c r="R74" s="1"/>
      <c r="S74" s="7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3"/>
      <c r="M75" s="2"/>
      <c r="N75" s="1"/>
      <c r="O75" s="6"/>
      <c r="P75" s="6"/>
      <c r="Q75" s="4"/>
      <c r="R75" s="1"/>
      <c r="S75" s="7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3"/>
      <c r="M76" s="2"/>
      <c r="N76" s="1"/>
      <c r="O76" s="6"/>
      <c r="P76" s="6"/>
      <c r="Q76" s="4"/>
      <c r="R76" s="1"/>
      <c r="S76" s="7"/>
      <c r="T76" s="1"/>
    </row>
    <row r="77" spans="1:2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3"/>
      <c r="M77" s="2"/>
      <c r="N77" s="1"/>
      <c r="O77" s="6"/>
      <c r="P77" s="6"/>
      <c r="Q77" s="4"/>
      <c r="R77" s="1"/>
      <c r="S77" s="7"/>
      <c r="T77" s="1"/>
    </row>
    <row r="78" spans="1:20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3"/>
      <c r="M78" s="2"/>
      <c r="N78" s="1"/>
      <c r="O78" s="6"/>
      <c r="P78" s="6"/>
      <c r="Q78" s="4"/>
      <c r="R78" s="1"/>
      <c r="S78" s="7"/>
      <c r="T78" s="1"/>
    </row>
    <row r="79" spans="1:20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3"/>
      <c r="M79" s="2"/>
      <c r="N79" s="1"/>
      <c r="O79" s="6"/>
      <c r="P79" s="6"/>
      <c r="Q79" s="4"/>
      <c r="R79" s="1"/>
      <c r="S79" s="7"/>
      <c r="T79" s="1"/>
    </row>
    <row r="80" spans="1:20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3"/>
      <c r="M80" s="2"/>
      <c r="N80" s="1"/>
      <c r="O80" s="6"/>
      <c r="P80" s="6"/>
      <c r="Q80" s="4"/>
      <c r="R80" s="1"/>
      <c r="S80" s="7"/>
      <c r="T80" s="1"/>
    </row>
    <row r="81" spans="1:20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3"/>
      <c r="M81" s="2"/>
      <c r="N81" s="1"/>
      <c r="O81" s="6"/>
      <c r="P81" s="6"/>
      <c r="Q81" s="4"/>
      <c r="R81" s="1"/>
      <c r="S81" s="7"/>
      <c r="T81" s="1"/>
    </row>
    <row r="82" spans="1:20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3"/>
      <c r="M82" s="2"/>
      <c r="N82" s="1"/>
      <c r="O82" s="6"/>
      <c r="P82" s="6"/>
      <c r="Q82" s="4"/>
      <c r="R82" s="1"/>
      <c r="S82" s="7"/>
      <c r="T82" s="1"/>
    </row>
    <row r="83" spans="1:20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3"/>
      <c r="M83" s="2"/>
      <c r="N83" s="1"/>
      <c r="O83" s="6"/>
      <c r="P83" s="6"/>
      <c r="Q83" s="4"/>
      <c r="R83" s="1"/>
      <c r="S83" s="7"/>
      <c r="T83" s="1"/>
    </row>
    <row r="84" spans="1:20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3"/>
      <c r="M84" s="2"/>
      <c r="N84" s="1"/>
      <c r="O84" s="6"/>
      <c r="P84" s="6"/>
      <c r="Q84" s="4"/>
      <c r="R84" s="1"/>
      <c r="S84" s="7"/>
      <c r="T84" s="1"/>
    </row>
    <row r="85" spans="1:20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3"/>
      <c r="M85" s="2"/>
      <c r="N85" s="1"/>
      <c r="O85" s="6"/>
      <c r="P85" s="6"/>
      <c r="Q85" s="4"/>
      <c r="R85" s="1"/>
      <c r="S85" s="7"/>
      <c r="T85" s="1"/>
    </row>
    <row r="86" spans="1:20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3"/>
      <c r="M86" s="2"/>
      <c r="N86" s="1"/>
      <c r="O86" s="6"/>
      <c r="P86" s="6"/>
      <c r="Q86" s="4"/>
      <c r="R86" s="1"/>
      <c r="S86" s="7"/>
      <c r="T86" s="1"/>
    </row>
    <row r="87" spans="1:20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3"/>
      <c r="M87" s="2"/>
      <c r="N87" s="1"/>
      <c r="O87" s="6"/>
      <c r="P87" s="6"/>
      <c r="Q87" s="4"/>
      <c r="R87" s="1"/>
      <c r="S87" s="7"/>
      <c r="T87" s="1"/>
    </row>
    <row r="88" spans="1:20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3"/>
      <c r="M88" s="2"/>
      <c r="N88" s="1"/>
      <c r="O88" s="6"/>
      <c r="P88" s="6"/>
      <c r="Q88" s="4"/>
      <c r="R88" s="1"/>
      <c r="S88" s="7"/>
      <c r="T88" s="1"/>
    </row>
    <row r="89" spans="1:20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3"/>
      <c r="M89" s="2"/>
      <c r="N89" s="1"/>
      <c r="O89" s="6"/>
      <c r="P89" s="6"/>
      <c r="Q89" s="4"/>
      <c r="R89" s="1"/>
      <c r="S89" s="7"/>
      <c r="T89" s="1"/>
    </row>
    <row r="90" spans="1:20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3"/>
      <c r="M90" s="2"/>
      <c r="N90" s="1"/>
      <c r="O90" s="6"/>
      <c r="P90" s="6"/>
      <c r="Q90" s="4"/>
      <c r="R90" s="1"/>
      <c r="S90" s="7"/>
      <c r="T90" s="1"/>
    </row>
    <row r="91" spans="1:20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3"/>
      <c r="M91" s="2"/>
      <c r="N91" s="1"/>
      <c r="O91" s="6"/>
      <c r="P91" s="6"/>
      <c r="Q91" s="4"/>
      <c r="R91" s="1"/>
      <c r="S91" s="7"/>
      <c r="T91" s="1"/>
    </row>
    <row r="92" spans="1:20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3"/>
      <c r="M92" s="2"/>
      <c r="N92" s="1"/>
      <c r="O92" s="6"/>
      <c r="P92" s="6"/>
      <c r="Q92" s="4"/>
      <c r="R92" s="1"/>
      <c r="S92" s="7"/>
      <c r="T92" s="1"/>
    </row>
    <row r="93" spans="1:20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3"/>
      <c r="M93" s="2"/>
      <c r="N93" s="1"/>
      <c r="O93" s="6"/>
      <c r="P93" s="6"/>
      <c r="Q93" s="4"/>
      <c r="R93" s="1"/>
      <c r="S93" s="7"/>
      <c r="T93" s="1"/>
    </row>
    <row r="94" spans="1:20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3"/>
      <c r="M94" s="2"/>
      <c r="N94" s="1"/>
      <c r="O94" s="6"/>
      <c r="P94" s="6"/>
      <c r="Q94" s="4"/>
      <c r="R94" s="1"/>
      <c r="S94" s="7"/>
      <c r="T94" s="1"/>
    </row>
    <row r="95" spans="1:20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3"/>
      <c r="M95" s="2"/>
      <c r="N95" s="1"/>
      <c r="O95" s="6"/>
      <c r="P95" s="6"/>
      <c r="Q95" s="4"/>
      <c r="R95" s="1"/>
      <c r="S95" s="7"/>
      <c r="T95" s="1"/>
    </row>
    <row r="96" spans="1:20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3"/>
      <c r="M96" s="2"/>
      <c r="N96" s="1"/>
      <c r="O96" s="6"/>
      <c r="P96" s="6"/>
      <c r="Q96" s="4"/>
      <c r="R96" s="1"/>
      <c r="S96" s="7"/>
      <c r="T96" s="1"/>
    </row>
    <row r="97" spans="1:20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3"/>
      <c r="M97" s="2"/>
      <c r="N97" s="1"/>
      <c r="O97" s="6"/>
      <c r="P97" s="6"/>
      <c r="Q97" s="4"/>
      <c r="R97" s="1"/>
      <c r="S97" s="7"/>
      <c r="T97" s="1"/>
    </row>
    <row r="98" spans="1:20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3"/>
      <c r="M98" s="2"/>
      <c r="N98" s="1"/>
      <c r="O98" s="6"/>
      <c r="P98" s="6"/>
      <c r="Q98" s="4"/>
      <c r="R98" s="1"/>
      <c r="S98" s="7"/>
      <c r="T98" s="1"/>
    </row>
    <row r="99" spans="1:20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3"/>
      <c r="M99" s="2"/>
      <c r="N99" s="1"/>
      <c r="O99" s="6"/>
      <c r="P99" s="6"/>
      <c r="Q99" s="4"/>
      <c r="R99" s="1"/>
      <c r="S99" s="7"/>
      <c r="T99" s="1"/>
    </row>
    <row r="100" spans="1:20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3"/>
      <c r="M100" s="2"/>
      <c r="N100" s="1"/>
      <c r="O100" s="6"/>
      <c r="P100" s="6"/>
      <c r="Q100" s="4"/>
      <c r="R100" s="1"/>
      <c r="S100" s="7"/>
      <c r="T100" s="1"/>
    </row>
    <row r="101" spans="1:20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3"/>
      <c r="M101" s="2"/>
      <c r="N101" s="1"/>
      <c r="O101" s="6"/>
      <c r="P101" s="6"/>
      <c r="Q101" s="4"/>
      <c r="R101" s="1"/>
      <c r="S101" s="7"/>
      <c r="T101" s="1"/>
    </row>
    <row r="102" spans="1:20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3"/>
      <c r="M102" s="2"/>
      <c r="N102" s="1"/>
      <c r="O102" s="6"/>
      <c r="P102" s="6"/>
      <c r="Q102" s="4"/>
      <c r="R102" s="1"/>
      <c r="S102" s="7"/>
      <c r="T102" s="1"/>
    </row>
    <row r="103" spans="1:20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3"/>
      <c r="M103" s="2"/>
      <c r="N103" s="1"/>
      <c r="O103" s="6"/>
      <c r="P103" s="6"/>
      <c r="Q103" s="4"/>
      <c r="R103" s="1"/>
      <c r="S103" s="7"/>
      <c r="T103" s="1"/>
    </row>
    <row r="104" spans="1:20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3"/>
      <c r="M104" s="2"/>
      <c r="N104" s="1"/>
      <c r="O104" s="6"/>
      <c r="P104" s="6"/>
      <c r="Q104" s="4"/>
      <c r="R104" s="1"/>
      <c r="S104" s="7"/>
      <c r="T104" s="1"/>
    </row>
    <row r="105" spans="1:20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3"/>
      <c r="M105" s="2"/>
      <c r="N105" s="1"/>
      <c r="O105" s="6"/>
      <c r="P105" s="6"/>
      <c r="Q105" s="4"/>
      <c r="R105" s="1"/>
      <c r="S105" s="7"/>
      <c r="T105" s="1"/>
    </row>
    <row r="106" spans="1:20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3"/>
      <c r="M106" s="2"/>
      <c r="N106" s="1"/>
      <c r="O106" s="6"/>
      <c r="P106" s="6"/>
      <c r="Q106" s="4"/>
      <c r="R106" s="1"/>
      <c r="S106" s="7"/>
      <c r="T106" s="1"/>
    </row>
    <row r="107" spans="1:20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3"/>
      <c r="M107" s="2"/>
      <c r="N107" s="1"/>
      <c r="O107" s="6"/>
      <c r="P107" s="6"/>
      <c r="Q107" s="4"/>
      <c r="R107" s="1"/>
      <c r="S107" s="7"/>
      <c r="T107" s="1"/>
    </row>
    <row r="108" spans="1:20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3"/>
      <c r="M108" s="2"/>
      <c r="N108" s="1"/>
      <c r="O108" s="6"/>
      <c r="P108" s="6"/>
      <c r="Q108" s="4"/>
      <c r="R108" s="1"/>
      <c r="S108" s="7"/>
      <c r="T108" s="1"/>
    </row>
    <row r="109" spans="1:20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3"/>
      <c r="M109" s="2"/>
      <c r="N109" s="1"/>
      <c r="O109" s="6"/>
      <c r="P109" s="6"/>
      <c r="Q109" s="4"/>
      <c r="R109" s="1"/>
      <c r="S109" s="7"/>
      <c r="T109" s="1"/>
    </row>
    <row r="110" spans="1:20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3"/>
      <c r="M110" s="2"/>
      <c r="N110" s="1"/>
      <c r="O110" s="6"/>
      <c r="P110" s="6"/>
      <c r="Q110" s="4"/>
      <c r="R110" s="1"/>
      <c r="S110" s="7"/>
      <c r="T110" s="1"/>
    </row>
    <row r="111" spans="1:20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3"/>
      <c r="M111" s="2"/>
      <c r="N111" s="1"/>
      <c r="O111" s="6"/>
      <c r="P111" s="6"/>
      <c r="Q111" s="4"/>
      <c r="R111" s="1"/>
      <c r="S111" s="7"/>
      <c r="T111" s="1"/>
    </row>
    <row r="112" spans="1:20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3"/>
      <c r="M112" s="2"/>
      <c r="N112" s="1"/>
      <c r="O112" s="6"/>
      <c r="P112" s="6"/>
      <c r="Q112" s="4"/>
      <c r="R112" s="1"/>
      <c r="S112" s="7"/>
      <c r="T112" s="1"/>
    </row>
    <row r="113" spans="1:20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3"/>
      <c r="M113" s="2"/>
      <c r="N113" s="1"/>
      <c r="O113" s="6"/>
      <c r="P113" s="6"/>
      <c r="Q113" s="4"/>
      <c r="R113" s="1"/>
      <c r="S113" s="7"/>
      <c r="T113" s="1"/>
    </row>
    <row r="114" spans="1:20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3"/>
      <c r="M114" s="2"/>
      <c r="N114" s="1"/>
      <c r="O114" s="6"/>
      <c r="P114" s="6"/>
      <c r="Q114" s="4"/>
      <c r="R114" s="1"/>
      <c r="S114" s="7"/>
      <c r="T114" s="1"/>
    </row>
    <row r="115" spans="1:20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3"/>
      <c r="M115" s="2"/>
      <c r="N115" s="1"/>
      <c r="O115" s="6"/>
      <c r="P115" s="6"/>
      <c r="Q115" s="4"/>
      <c r="R115" s="1"/>
      <c r="S115" s="7"/>
      <c r="T115" s="1"/>
    </row>
    <row r="116" spans="1:20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3"/>
      <c r="M116" s="2"/>
      <c r="N116" s="1"/>
      <c r="O116" s="6"/>
      <c r="P116" s="6"/>
      <c r="Q116" s="4"/>
      <c r="R116" s="1"/>
      <c r="S116" s="7"/>
      <c r="T116" s="1"/>
    </row>
    <row r="117" spans="1:20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3"/>
      <c r="M117" s="2"/>
      <c r="N117" s="1"/>
      <c r="O117" s="6"/>
      <c r="P117" s="6"/>
      <c r="Q117" s="4"/>
      <c r="R117" s="1"/>
      <c r="S117" s="7"/>
      <c r="T117" s="1"/>
    </row>
    <row r="118" spans="1:20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3"/>
      <c r="M118" s="2"/>
      <c r="N118" s="1"/>
      <c r="O118" s="6"/>
      <c r="P118" s="6"/>
      <c r="Q118" s="4"/>
      <c r="R118" s="1"/>
      <c r="S118" s="7"/>
      <c r="T118" s="1"/>
    </row>
    <row r="119" spans="1:20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3"/>
      <c r="M119" s="2"/>
      <c r="N119" s="1"/>
      <c r="O119" s="6"/>
      <c r="P119" s="6"/>
      <c r="Q119" s="4"/>
      <c r="R119" s="1"/>
      <c r="S119" s="7"/>
      <c r="T119" s="1"/>
    </row>
    <row r="120" spans="1:20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3"/>
      <c r="M120" s="2"/>
      <c r="N120" s="1"/>
      <c r="O120" s="6"/>
      <c r="P120" s="6"/>
      <c r="Q120" s="4"/>
      <c r="R120" s="1"/>
      <c r="S120" s="7"/>
      <c r="T120" s="1"/>
    </row>
    <row r="121" spans="1:20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3"/>
      <c r="M121" s="2"/>
      <c r="N121" s="1"/>
      <c r="O121" s="6"/>
      <c r="P121" s="6"/>
      <c r="Q121" s="4"/>
      <c r="R121" s="1"/>
      <c r="S121" s="7"/>
      <c r="T121" s="1"/>
    </row>
    <row r="122" spans="1:20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3"/>
      <c r="M122" s="2"/>
      <c r="N122" s="1"/>
      <c r="O122" s="6"/>
      <c r="P122" s="6"/>
      <c r="Q122" s="4"/>
      <c r="R122" s="1"/>
      <c r="S122" s="7"/>
      <c r="T122" s="1"/>
    </row>
    <row r="123" spans="1:20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3"/>
      <c r="M123" s="2"/>
      <c r="N123" s="1"/>
      <c r="O123" s="6"/>
      <c r="P123" s="6"/>
      <c r="Q123" s="4"/>
      <c r="R123" s="1"/>
      <c r="S123" s="7"/>
      <c r="T123" s="1"/>
    </row>
    <row r="124" spans="1:20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3"/>
      <c r="M124" s="2"/>
      <c r="N124" s="1"/>
      <c r="O124" s="6"/>
      <c r="P124" s="6"/>
      <c r="Q124" s="4"/>
      <c r="R124" s="1"/>
      <c r="S124" s="7"/>
      <c r="T124" s="1"/>
    </row>
    <row r="125" spans="1:20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3"/>
      <c r="M125" s="2"/>
      <c r="N125" s="1"/>
      <c r="O125" s="6"/>
      <c r="P125" s="6"/>
      <c r="Q125" s="4"/>
      <c r="R125" s="1"/>
      <c r="S125" s="7"/>
      <c r="T125" s="1"/>
    </row>
    <row r="126" spans="1:20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3"/>
      <c r="M126" s="2"/>
      <c r="N126" s="1"/>
      <c r="O126" s="6"/>
      <c r="P126" s="6"/>
      <c r="Q126" s="4"/>
      <c r="R126" s="1"/>
      <c r="S126" s="7"/>
      <c r="T126" s="1"/>
    </row>
    <row r="127" spans="1:20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3"/>
      <c r="M127" s="2"/>
      <c r="N127" s="1"/>
      <c r="O127" s="6"/>
      <c r="P127" s="6"/>
      <c r="Q127" s="4"/>
      <c r="R127" s="1"/>
      <c r="S127" s="7"/>
      <c r="T127" s="1"/>
    </row>
    <row r="128" spans="1:20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3"/>
      <c r="M128" s="2"/>
      <c r="N128" s="1"/>
      <c r="O128" s="6"/>
      <c r="P128" s="6"/>
      <c r="Q128" s="4"/>
      <c r="R128" s="1"/>
      <c r="S128" s="7"/>
      <c r="T128" s="1"/>
    </row>
    <row r="129" spans="1:20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3"/>
      <c r="M129" s="2"/>
      <c r="N129" s="1"/>
      <c r="O129" s="6"/>
      <c r="P129" s="6"/>
      <c r="Q129" s="4"/>
      <c r="R129" s="1"/>
      <c r="S129" s="7"/>
      <c r="T129" s="1"/>
    </row>
    <row r="130" spans="1:20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3"/>
      <c r="M130" s="2"/>
      <c r="N130" s="1"/>
      <c r="O130" s="6"/>
      <c r="P130" s="6"/>
      <c r="Q130" s="4"/>
      <c r="R130" s="1"/>
      <c r="S130" s="7"/>
      <c r="T130" s="1"/>
    </row>
    <row r="131" spans="1:20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3"/>
      <c r="M131" s="2"/>
      <c r="N131" s="1"/>
      <c r="O131" s="6"/>
      <c r="P131" s="6"/>
      <c r="Q131" s="4"/>
      <c r="R131" s="1"/>
      <c r="S131" s="7"/>
      <c r="T131" s="1"/>
    </row>
    <row r="132" spans="1:20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3"/>
      <c r="M132" s="2"/>
      <c r="N132" s="1"/>
      <c r="O132" s="6"/>
      <c r="P132" s="6"/>
      <c r="Q132" s="4"/>
      <c r="R132" s="1"/>
      <c r="S132" s="7"/>
      <c r="T132" s="1"/>
    </row>
    <row r="133" spans="1:20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3"/>
      <c r="M133" s="2"/>
      <c r="N133" s="1"/>
      <c r="O133" s="6"/>
      <c r="P133" s="6"/>
      <c r="Q133" s="4"/>
      <c r="R133" s="1"/>
      <c r="S133" s="7"/>
      <c r="T133" s="1"/>
    </row>
    <row r="134" spans="1:20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3"/>
      <c r="M134" s="2"/>
      <c r="N134" s="1"/>
      <c r="O134" s="6"/>
      <c r="P134" s="6"/>
      <c r="Q134" s="4"/>
      <c r="R134" s="1"/>
      <c r="S134" s="7"/>
      <c r="T134" s="1"/>
    </row>
    <row r="135" spans="1:20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3"/>
      <c r="M135" s="2"/>
      <c r="N135" s="1"/>
      <c r="O135" s="6"/>
      <c r="P135" s="6"/>
      <c r="Q135" s="4"/>
      <c r="R135" s="1"/>
      <c r="S135" s="7"/>
      <c r="T135" s="1"/>
    </row>
    <row r="136" spans="1:20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3"/>
      <c r="M136" s="2"/>
      <c r="N136" s="1"/>
      <c r="O136" s="6"/>
      <c r="P136" s="6"/>
      <c r="Q136" s="4"/>
      <c r="R136" s="1"/>
      <c r="S136" s="7"/>
      <c r="T136" s="1"/>
    </row>
    <row r="137" spans="1:20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3"/>
      <c r="M137" s="2"/>
      <c r="N137" s="1"/>
      <c r="O137" s="6"/>
      <c r="P137" s="6"/>
      <c r="Q137" s="4"/>
      <c r="R137" s="1"/>
      <c r="S137" s="7"/>
      <c r="T137" s="1"/>
    </row>
    <row r="138" spans="1:20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3"/>
      <c r="M138" s="2"/>
      <c r="N138" s="1"/>
      <c r="O138" s="6"/>
      <c r="P138" s="6"/>
      <c r="Q138" s="4"/>
      <c r="R138" s="1"/>
      <c r="S138" s="7"/>
      <c r="T138" s="1"/>
    </row>
    <row r="139" spans="1:20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3"/>
      <c r="M139" s="2"/>
      <c r="N139" s="1"/>
      <c r="O139" s="6"/>
      <c r="P139" s="6"/>
      <c r="Q139" s="4"/>
      <c r="R139" s="1"/>
      <c r="S139" s="7"/>
      <c r="T139" s="1"/>
    </row>
    <row r="140" spans="1:20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3"/>
      <c r="M140" s="2"/>
      <c r="N140" s="1"/>
      <c r="O140" s="6"/>
      <c r="P140" s="6"/>
      <c r="Q140" s="4"/>
      <c r="R140" s="1"/>
      <c r="S140" s="7"/>
      <c r="T140" s="1"/>
    </row>
    <row r="141" spans="1:20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3"/>
      <c r="M141" s="2"/>
      <c r="N141" s="1"/>
      <c r="O141" s="6"/>
      <c r="P141" s="6"/>
      <c r="Q141" s="4"/>
      <c r="R141" s="1"/>
      <c r="S141" s="7"/>
      <c r="T141" s="1"/>
    </row>
    <row r="142" spans="1:20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3"/>
      <c r="M142" s="2"/>
      <c r="N142" s="1"/>
      <c r="O142" s="6"/>
      <c r="P142" s="6"/>
      <c r="Q142" s="4"/>
      <c r="R142" s="1"/>
      <c r="S142" s="7"/>
      <c r="T142" s="1"/>
    </row>
    <row r="143" spans="1:20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3"/>
      <c r="M143" s="2"/>
      <c r="N143" s="1"/>
      <c r="O143" s="6"/>
      <c r="P143" s="6"/>
      <c r="Q143" s="4"/>
      <c r="R143" s="1"/>
      <c r="S143" s="7"/>
      <c r="T143" s="1"/>
    </row>
    <row r="144" spans="1:20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3"/>
      <c r="M144" s="2"/>
      <c r="N144" s="1"/>
      <c r="O144" s="6"/>
      <c r="P144" s="6"/>
      <c r="Q144" s="4"/>
      <c r="R144" s="1"/>
      <c r="S144" s="7"/>
      <c r="T144" s="1"/>
    </row>
    <row r="145" spans="1:20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3"/>
      <c r="M145" s="2"/>
      <c r="N145" s="1"/>
      <c r="O145" s="6"/>
      <c r="P145" s="6"/>
      <c r="Q145" s="4"/>
      <c r="R145" s="1"/>
      <c r="S145" s="7"/>
      <c r="T145" s="1"/>
    </row>
    <row r="146" spans="1:20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3"/>
      <c r="M146" s="2"/>
      <c r="N146" s="1"/>
      <c r="O146" s="6"/>
      <c r="P146" s="6"/>
      <c r="Q146" s="4"/>
      <c r="R146" s="1"/>
      <c r="S146" s="7"/>
      <c r="T146" s="1"/>
    </row>
    <row r="147" spans="1:20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3"/>
      <c r="M147" s="2"/>
      <c r="N147" s="1"/>
      <c r="O147" s="6"/>
      <c r="P147" s="6"/>
      <c r="Q147" s="4"/>
      <c r="R147" s="1"/>
      <c r="S147" s="7"/>
      <c r="T147" s="1"/>
    </row>
    <row r="148" spans="1:20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3"/>
      <c r="M148" s="2"/>
      <c r="N148" s="1"/>
      <c r="O148" s="6"/>
      <c r="P148" s="6"/>
      <c r="Q148" s="4"/>
      <c r="R148" s="1"/>
      <c r="S148" s="7"/>
      <c r="T148" s="1"/>
    </row>
    <row r="149" spans="1:20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3"/>
      <c r="M149" s="2"/>
      <c r="N149" s="1"/>
      <c r="O149" s="6"/>
      <c r="P149" s="6"/>
      <c r="Q149" s="4"/>
      <c r="R149" s="1"/>
      <c r="S149" s="7"/>
      <c r="T149" s="1"/>
    </row>
    <row r="150" spans="1:20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3"/>
      <c r="M150" s="2"/>
      <c r="N150" s="1"/>
      <c r="O150" s="6"/>
      <c r="P150" s="6"/>
      <c r="Q150" s="4"/>
      <c r="R150" s="1"/>
      <c r="S150" s="7"/>
      <c r="T150" s="1"/>
    </row>
    <row r="151" spans="1:20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3"/>
      <c r="M151" s="2"/>
      <c r="N151" s="1"/>
      <c r="O151" s="6"/>
      <c r="P151" s="6"/>
      <c r="Q151" s="4"/>
      <c r="R151" s="1"/>
      <c r="S151" s="7"/>
      <c r="T151" s="1"/>
    </row>
    <row r="152" spans="1:20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3"/>
      <c r="M152" s="2"/>
      <c r="N152" s="1"/>
      <c r="O152" s="6"/>
      <c r="P152" s="6"/>
      <c r="Q152" s="4"/>
      <c r="R152" s="1"/>
      <c r="S152" s="7"/>
      <c r="T152" s="1"/>
    </row>
    <row r="153" spans="1:20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3"/>
      <c r="M153" s="2"/>
      <c r="N153" s="1"/>
      <c r="O153" s="6"/>
      <c r="P153" s="6"/>
      <c r="Q153" s="4"/>
      <c r="R153" s="1"/>
      <c r="S153" s="7"/>
      <c r="T153" s="1"/>
    </row>
    <row r="154" spans="1:20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3"/>
      <c r="M154" s="2"/>
      <c r="N154" s="1"/>
      <c r="O154" s="6"/>
      <c r="P154" s="6"/>
      <c r="Q154" s="4"/>
      <c r="R154" s="1"/>
      <c r="S154" s="7"/>
      <c r="T154" s="1"/>
    </row>
    <row r="155" spans="1:20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3"/>
      <c r="M155" s="2"/>
      <c r="N155" s="1"/>
      <c r="O155" s="6"/>
      <c r="P155" s="6"/>
      <c r="Q155" s="4"/>
      <c r="R155" s="1"/>
      <c r="S155" s="7"/>
      <c r="T155" s="1"/>
    </row>
    <row r="156" spans="1:20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3"/>
      <c r="M156" s="2"/>
      <c r="N156" s="1"/>
      <c r="O156" s="6"/>
      <c r="P156" s="6"/>
      <c r="Q156" s="4"/>
      <c r="R156" s="1"/>
      <c r="S156" s="7"/>
      <c r="T156" s="1"/>
    </row>
    <row r="157" spans="1:20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3"/>
      <c r="M157" s="2"/>
      <c r="N157" s="1"/>
      <c r="O157" s="6"/>
      <c r="P157" s="6"/>
      <c r="Q157" s="4"/>
      <c r="R157" s="1"/>
      <c r="S157" s="7"/>
      <c r="T157" s="1"/>
    </row>
    <row r="158" spans="1:20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3"/>
      <c r="M158" s="2"/>
      <c r="N158" s="1"/>
      <c r="O158" s="6"/>
      <c r="P158" s="6"/>
      <c r="Q158" s="4"/>
      <c r="R158" s="1"/>
      <c r="S158" s="7"/>
      <c r="T158" s="1"/>
    </row>
    <row r="159" spans="1:20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3"/>
      <c r="M159" s="2"/>
      <c r="N159" s="1"/>
      <c r="O159" s="6"/>
      <c r="P159" s="6"/>
      <c r="Q159" s="4"/>
      <c r="R159" s="1"/>
      <c r="S159" s="7"/>
      <c r="T159" s="1"/>
    </row>
    <row r="160" spans="1:20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3"/>
      <c r="M160" s="2"/>
      <c r="N160" s="1"/>
      <c r="O160" s="6"/>
      <c r="P160" s="6"/>
      <c r="Q160" s="4"/>
      <c r="R160" s="1"/>
      <c r="S160" s="7"/>
      <c r="T160" s="1"/>
    </row>
    <row r="161" spans="1:20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3"/>
      <c r="M161" s="2"/>
      <c r="N161" s="1"/>
      <c r="O161" s="6"/>
      <c r="P161" s="6"/>
      <c r="Q161" s="4"/>
      <c r="R161" s="1"/>
      <c r="S161" s="7"/>
      <c r="T161" s="1"/>
    </row>
    <row r="162" spans="1:20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3"/>
      <c r="M162" s="2"/>
      <c r="N162" s="1"/>
      <c r="O162" s="6"/>
      <c r="P162" s="6"/>
      <c r="Q162" s="4"/>
      <c r="R162" s="1"/>
      <c r="S162" s="7"/>
      <c r="T162" s="1"/>
    </row>
    <row r="163" spans="1:20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3"/>
      <c r="M163" s="2"/>
      <c r="N163" s="1"/>
      <c r="O163" s="6"/>
      <c r="P163" s="6"/>
      <c r="Q163" s="4"/>
      <c r="R163" s="1"/>
      <c r="S163" s="7"/>
      <c r="T163" s="1"/>
    </row>
    <row r="164" spans="1:20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2"/>
      <c r="N164" s="1"/>
      <c r="O164" s="6"/>
      <c r="P164" s="6"/>
      <c r="Q164" s="4"/>
      <c r="R164" s="1"/>
      <c r="S164" s="7"/>
      <c r="T164" s="1"/>
    </row>
    <row r="165" spans="1:20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2"/>
      <c r="N165" s="1"/>
      <c r="O165" s="6"/>
      <c r="P165" s="6"/>
      <c r="Q165" s="4"/>
      <c r="R165" s="1"/>
      <c r="S165" s="7"/>
      <c r="T165" s="1"/>
    </row>
    <row r="166" spans="1:20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2"/>
      <c r="N166" s="1"/>
      <c r="O166" s="6"/>
      <c r="P166" s="6"/>
      <c r="Q166" s="4"/>
      <c r="R166" s="1"/>
      <c r="S166" s="7"/>
      <c r="T166" s="1"/>
    </row>
    <row r="167" spans="1:20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2"/>
      <c r="N167" s="1"/>
      <c r="O167" s="6"/>
      <c r="P167" s="6"/>
      <c r="Q167" s="4"/>
      <c r="R167" s="1"/>
      <c r="S167" s="7"/>
      <c r="T167" s="1"/>
    </row>
    <row r="168" spans="1:20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2"/>
      <c r="N168" s="1"/>
      <c r="O168" s="6"/>
      <c r="P168" s="6"/>
      <c r="Q168" s="4"/>
      <c r="R168" s="1"/>
      <c r="S168" s="7"/>
      <c r="T168" s="1"/>
    </row>
    <row r="169" spans="1:20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2"/>
      <c r="N169" s="1"/>
      <c r="O169" s="6"/>
      <c r="P169" s="6"/>
      <c r="Q169" s="4"/>
      <c r="R169" s="1"/>
      <c r="S169" s="7"/>
      <c r="T169" s="1"/>
    </row>
    <row r="170" spans="1:20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2"/>
      <c r="N170" s="1"/>
      <c r="O170" s="6"/>
      <c r="P170" s="6"/>
      <c r="Q170" s="4"/>
      <c r="R170" s="1"/>
      <c r="S170" s="7"/>
      <c r="T170" s="1"/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6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6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6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6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6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6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6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6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6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6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6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6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6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6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6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6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6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6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6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6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6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6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6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6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6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6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6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6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6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6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6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6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6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6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6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6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6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6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6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6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6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6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6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6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6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6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6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6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6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6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6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6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6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6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6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6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6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6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6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6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6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6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6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6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6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6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6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6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6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6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6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6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6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6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6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6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6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6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6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6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6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6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6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6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6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6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6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6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6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6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6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6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6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6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6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6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6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6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6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6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6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6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6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6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6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6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6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6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6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6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6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6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6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6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6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6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6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6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6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6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6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6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6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6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6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6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6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6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6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6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6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6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6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6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6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6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6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6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6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6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6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6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6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6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6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6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6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6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6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6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6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6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6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6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6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6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6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6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6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6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6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6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6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6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6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6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6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6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6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6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6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6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6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6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6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6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6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6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6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6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6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6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6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6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6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6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6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6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6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6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6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6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6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6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6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6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6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6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6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6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6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6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6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6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6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6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6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6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6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6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6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6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6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6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6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6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6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6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6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6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6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6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6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6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6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6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6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6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6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6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6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6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6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6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6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6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6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6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6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6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6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6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6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6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6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6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6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6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6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6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6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6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6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6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6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6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6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6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6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6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6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6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6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6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6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6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6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6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6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6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6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6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6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6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6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6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6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6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6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6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6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6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6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6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6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6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6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6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6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6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6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6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6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6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6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6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6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6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6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6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6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6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6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6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6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6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6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6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6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6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6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6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6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6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6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6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6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6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6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6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6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6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6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6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6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6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6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6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6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6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6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6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6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6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6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6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6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6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6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6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6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6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6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6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6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6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6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6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6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6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6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6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6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6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6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6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6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6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6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6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6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6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6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6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6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6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6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6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6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6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6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6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6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6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6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6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6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6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6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6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6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6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6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6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6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6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6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6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6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6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6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6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6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6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6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6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6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6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6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6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6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6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6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6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6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6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6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6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6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6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6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6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6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6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6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6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6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6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6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6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6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6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6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6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6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6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6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6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6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6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6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6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6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6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6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6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6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6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6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6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6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6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6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6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6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6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6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6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6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6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6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6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6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6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6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6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6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6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6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6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6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6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6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6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6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6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6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6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6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6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6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6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6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6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6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6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6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6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6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6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6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6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6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6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6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6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6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6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6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6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6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6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6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6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6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6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6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6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6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6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6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6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6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6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6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6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6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6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6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6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6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6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6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6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6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6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6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6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6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6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6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6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6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6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6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6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6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6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6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6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6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6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6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6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6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6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6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6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6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6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6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6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6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6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6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6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6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6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6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6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6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6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6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6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6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6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6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6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6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6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6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6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6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6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6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6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6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6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6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6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6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6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6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6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6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6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6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6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6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6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6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6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6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6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6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6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6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6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6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6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6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6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6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6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6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6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6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6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6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6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6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6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6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6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6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6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6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6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6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6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6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6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6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6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6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6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6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6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6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6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6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6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6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6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6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6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6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6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6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6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6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6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6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6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6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6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6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6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6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6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6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6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6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6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6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6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6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6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6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6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6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6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6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6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6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6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6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6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6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6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6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6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6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6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6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6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6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6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6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6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6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6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6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6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6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6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6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6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6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6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6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6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6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6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6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6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6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6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6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6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6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6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6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6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6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6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6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6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6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6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6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6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6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6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6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6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6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6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6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6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6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6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6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6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6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6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6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6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6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6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6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6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6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6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6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6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6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6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6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6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6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6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6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6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6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6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6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6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6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6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6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6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6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6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6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6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6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6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6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6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6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6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6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6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6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6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6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6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6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6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6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6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6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6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6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6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6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6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6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6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6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6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6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6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6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6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6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6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6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6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6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6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6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6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6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6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6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6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6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6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6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6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6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6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6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6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6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6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6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6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6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6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6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6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6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6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6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6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6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6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6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6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6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6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6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6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6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6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6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6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6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6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6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6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6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6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6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6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6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6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6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6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6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6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6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6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6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6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6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6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6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6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6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6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6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6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6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6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6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6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6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6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6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6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6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6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6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6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6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6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6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6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6"/>
      <c r="Q1033" s="4"/>
      <c r="R1033" s="1"/>
      <c r="S1033" s="7"/>
      <c r="T1033" s="1"/>
    </row>
  </sheetData>
  <phoneticPr fontId="1" type="noConversion"/>
  <conditionalFormatting sqref="R2:T1033">
    <cfRule type="expression" dxfId="23" priority="1">
      <formula>$T2="Sin referencia"</formula>
    </cfRule>
    <cfRule type="expression" dxfId="22" priority="2">
      <formula>$T2="No llega"</formula>
    </cfRule>
    <cfRule type="expression" dxfId="21" priority="3">
      <formula>$T2="Empeora"</formula>
    </cfRule>
    <cfRule type="expression" dxfId="20" priority="4">
      <formula>$T2="Mejora"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2" sqref="B2"/>
    </sheetView>
  </sheetViews>
  <sheetFormatPr baseColWidth="10" defaultColWidth="8.88671875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2026-05-24T11:59:14Z</dcterms:modified>
</cp:coreProperties>
</file>