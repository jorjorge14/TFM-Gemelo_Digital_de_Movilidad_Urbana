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0D2F6406-FD2A-43EA-BCA7-0FF090F7F2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emergency_results!$A$1:$L$228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Q2" i="2"/>
  <c r="Q3" i="2"/>
  <c r="Q4" i="2"/>
  <c r="R4" i="2" s="1"/>
  <c r="Q5" i="2"/>
  <c r="R5" i="2" s="1"/>
  <c r="Q6" i="2"/>
  <c r="Q7" i="2"/>
  <c r="Q8" i="2"/>
  <c r="Q9" i="2"/>
  <c r="S9" i="2" s="1"/>
  <c r="T9" i="2" s="1"/>
  <c r="Q10" i="2"/>
  <c r="Q11" i="2"/>
  <c r="Q12" i="2"/>
  <c r="R12" i="2" s="1"/>
  <c r="Q13" i="2"/>
  <c r="R13" i="2" s="1"/>
  <c r="Q14" i="2"/>
  <c r="Q15" i="2"/>
  <c r="Q16" i="2"/>
  <c r="Q17" i="2"/>
  <c r="S17" i="2" s="1"/>
  <c r="Q18" i="2"/>
  <c r="Q19" i="2"/>
  <c r="Q20" i="2"/>
  <c r="R20" i="2" s="1"/>
  <c r="Q21" i="2"/>
  <c r="R21" i="2" s="1"/>
  <c r="Q22" i="2"/>
  <c r="Q23" i="2"/>
  <c r="Q24" i="2"/>
  <c r="Q25" i="2"/>
  <c r="S25" i="2" s="1"/>
  <c r="Q26" i="2"/>
  <c r="Q27" i="2"/>
  <c r="Q28" i="2"/>
  <c r="R28" i="2" s="1"/>
  <c r="Q29" i="2"/>
  <c r="R29" i="2" s="1"/>
  <c r="Q30" i="2"/>
  <c r="Q31" i="2"/>
  <c r="Q32" i="2"/>
  <c r="Q33" i="2"/>
  <c r="S33" i="2" s="1"/>
  <c r="T33" i="2" s="1"/>
  <c r="Q34" i="2"/>
  <c r="Q35" i="2"/>
  <c r="Q36" i="2"/>
  <c r="R36" i="2" s="1"/>
  <c r="Q37" i="2"/>
  <c r="R37" i="2" s="1"/>
  <c r="Q38" i="2"/>
  <c r="Q39" i="2"/>
  <c r="Q40" i="2"/>
  <c r="Q41" i="2"/>
  <c r="S41" i="2" s="1"/>
  <c r="T41" i="2" s="1"/>
  <c r="Q42" i="2"/>
  <c r="Q43" i="2"/>
  <c r="Q44" i="2"/>
  <c r="R44" i="2" s="1"/>
  <c r="Q45" i="2"/>
  <c r="R45" i="2" s="1"/>
  <c r="Q46" i="2"/>
  <c r="Q47" i="2"/>
  <c r="Q48" i="2"/>
  <c r="Q49" i="2"/>
  <c r="S49" i="2" s="1"/>
  <c r="T49" i="2" s="1"/>
  <c r="Q50" i="2"/>
  <c r="Q51" i="2"/>
  <c r="Q52" i="2"/>
  <c r="R52" i="2" s="1"/>
  <c r="Q53" i="2"/>
  <c r="R53" i="2" s="1"/>
  <c r="Q54" i="2"/>
  <c r="Q55" i="2"/>
  <c r="Q56" i="2"/>
  <c r="Q57" i="2"/>
  <c r="S57" i="2" s="1"/>
  <c r="T57" i="2" s="1"/>
  <c r="Q58" i="2"/>
  <c r="Q59" i="2"/>
  <c r="Q60" i="2"/>
  <c r="R60" i="2" s="1"/>
  <c r="Q61" i="2"/>
  <c r="R61" i="2" s="1"/>
  <c r="Q62" i="2"/>
  <c r="Q63" i="2"/>
  <c r="Q64" i="2"/>
  <c r="Q65" i="2"/>
  <c r="S65" i="2" s="1"/>
  <c r="T65" i="2" s="1"/>
  <c r="Q66" i="2"/>
  <c r="R66" i="2" s="1"/>
  <c r="Q67" i="2"/>
  <c r="Q68" i="2"/>
  <c r="R68" i="2" s="1"/>
  <c r="Q69" i="2"/>
  <c r="R69" i="2" s="1"/>
  <c r="Q70" i="2"/>
  <c r="Q71" i="2"/>
  <c r="Q72" i="2"/>
  <c r="S72" i="2" s="1"/>
  <c r="Q73" i="2"/>
  <c r="S73" i="2" s="1"/>
  <c r="T73" i="2" s="1"/>
  <c r="Q74" i="2"/>
  <c r="Q75" i="2"/>
  <c r="Q76" i="2"/>
  <c r="R76" i="2" s="1"/>
  <c r="Q77" i="2"/>
  <c r="R77" i="2" s="1"/>
  <c r="Q78" i="2"/>
  <c r="Q79" i="2"/>
  <c r="Q80" i="2"/>
  <c r="Q81" i="2"/>
  <c r="S81" i="2" s="1"/>
  <c r="T81" i="2" s="1"/>
  <c r="Q82" i="2"/>
  <c r="S82" i="2" s="1"/>
  <c r="Q83" i="2"/>
  <c r="Q84" i="2"/>
  <c r="R84" i="2" s="1"/>
  <c r="Q85" i="2"/>
  <c r="R85" i="2" s="1"/>
  <c r="Q86" i="2"/>
  <c r="Q87" i="2"/>
  <c r="Q88" i="2"/>
  <c r="Q89" i="2"/>
  <c r="S89" i="2" s="1"/>
  <c r="T89" i="2" s="1"/>
  <c r="Q90" i="2"/>
  <c r="S90" i="2" s="1"/>
  <c r="Q91" i="2"/>
  <c r="Q92" i="2"/>
  <c r="R92" i="2" s="1"/>
  <c r="Q93" i="2"/>
  <c r="R93" i="2" s="1"/>
  <c r="Q94" i="2"/>
  <c r="Q95" i="2"/>
  <c r="Q96" i="2"/>
  <c r="Q97" i="2"/>
  <c r="S97" i="2" s="1"/>
  <c r="T97" i="2" s="1"/>
  <c r="Q98" i="2"/>
  <c r="S98" i="2" s="1"/>
  <c r="Q99" i="2"/>
  <c r="Q100" i="2"/>
  <c r="R100" i="2" s="1"/>
  <c r="Q101" i="2"/>
  <c r="R101" i="2" s="1"/>
  <c r="Q102" i="2"/>
  <c r="Q103" i="2"/>
  <c r="Q104" i="2"/>
  <c r="S104" i="2" s="1"/>
  <c r="Q105" i="2"/>
  <c r="S105" i="2" s="1"/>
  <c r="T105" i="2" s="1"/>
  <c r="Q106" i="2"/>
  <c r="S106" i="2" s="1"/>
  <c r="Q107" i="2"/>
  <c r="Q108" i="2"/>
  <c r="R108" i="2" s="1"/>
  <c r="Q109" i="2"/>
  <c r="R109" i="2" s="1"/>
  <c r="Q110" i="2"/>
  <c r="Q111" i="2"/>
  <c r="Q112" i="2"/>
  <c r="Q113" i="2"/>
  <c r="S113" i="2" s="1"/>
  <c r="T113" i="2" s="1"/>
  <c r="Q114" i="2"/>
  <c r="R114" i="2" s="1"/>
  <c r="Q115" i="2"/>
  <c r="Q116" i="2"/>
  <c r="R116" i="2" s="1"/>
  <c r="Q117" i="2"/>
  <c r="R117" i="2" s="1"/>
  <c r="Q118" i="2"/>
  <c r="Q119" i="2"/>
  <c r="Q120" i="2"/>
  <c r="S120" i="2" s="1"/>
  <c r="Q121" i="2"/>
  <c r="S121" i="2" s="1"/>
  <c r="T121" i="2" s="1"/>
  <c r="Q122" i="2"/>
  <c r="S122" i="2" s="1"/>
  <c r="Q123" i="2"/>
  <c r="Q124" i="2"/>
  <c r="R124" i="2" s="1"/>
  <c r="Q125" i="2"/>
  <c r="R125" i="2" s="1"/>
  <c r="Q126" i="2"/>
  <c r="Q127" i="2"/>
  <c r="Q128" i="2"/>
  <c r="S128" i="2" s="1"/>
  <c r="Q129" i="2"/>
  <c r="S129" i="2" s="1"/>
  <c r="T129" i="2" s="1"/>
  <c r="Q130" i="2"/>
  <c r="S130" i="2" s="1"/>
  <c r="Q131" i="2"/>
  <c r="Q132" i="2"/>
  <c r="R132" i="2" s="1"/>
  <c r="Q133" i="2"/>
  <c r="R133" i="2" s="1"/>
  <c r="Q134" i="2"/>
  <c r="Q135" i="2"/>
  <c r="Q136" i="2"/>
  <c r="S136" i="2" s="1"/>
  <c r="Q137" i="2"/>
  <c r="S137" i="2" s="1"/>
  <c r="T137" i="2" s="1"/>
  <c r="Q138" i="2"/>
  <c r="S138" i="2" s="1"/>
  <c r="Q139" i="2"/>
  <c r="Q140" i="2"/>
  <c r="R140" i="2" s="1"/>
  <c r="Q141" i="2"/>
  <c r="R141" i="2" s="1"/>
  <c r="Q142" i="2"/>
  <c r="Q143" i="2"/>
  <c r="Q144" i="2"/>
  <c r="S144" i="2" s="1"/>
  <c r="Q145" i="2"/>
  <c r="S145" i="2" s="1"/>
  <c r="T145" i="2" s="1"/>
  <c r="Q146" i="2"/>
  <c r="S146" i="2" s="1"/>
  <c r="Q147" i="2"/>
  <c r="Q148" i="2"/>
  <c r="R148" i="2" s="1"/>
  <c r="Q149" i="2"/>
  <c r="R149" i="2" s="1"/>
  <c r="Q150" i="2"/>
  <c r="Q151" i="2"/>
  <c r="Q152" i="2"/>
  <c r="S152" i="2" s="1"/>
  <c r="Q153" i="2"/>
  <c r="S153" i="2" s="1"/>
  <c r="T153" i="2" s="1"/>
  <c r="Q154" i="2"/>
  <c r="S154" i="2" s="1"/>
  <c r="Q155" i="2"/>
  <c r="R155" i="2" s="1"/>
  <c r="Q156" i="2"/>
  <c r="R156" i="2" s="1"/>
  <c r="Q157" i="2"/>
  <c r="R157" i="2" s="1"/>
  <c r="Q158" i="2"/>
  <c r="Q159" i="2"/>
  <c r="Q160" i="2"/>
  <c r="S160" i="2" s="1"/>
  <c r="Q161" i="2"/>
  <c r="S161" i="2" s="1"/>
  <c r="T161" i="2" s="1"/>
  <c r="Q162" i="2"/>
  <c r="S162" i="2" s="1"/>
  <c r="Q163" i="2"/>
  <c r="R163" i="2" s="1"/>
  <c r="Q164" i="2"/>
  <c r="R164" i="2" s="1"/>
  <c r="Q165" i="2"/>
  <c r="R165" i="2" s="1"/>
  <c r="Q166" i="2"/>
  <c r="Q167" i="2"/>
  <c r="Q168" i="2"/>
  <c r="S168" i="2" s="1"/>
  <c r="Q169" i="2"/>
  <c r="S169" i="2" s="1"/>
  <c r="T169" i="2" s="1"/>
  <c r="Q170" i="2"/>
  <c r="S170" i="2" s="1"/>
  <c r="T170" i="2" s="1"/>
  <c r="Q171" i="2"/>
  <c r="R171" i="2" s="1"/>
  <c r="Q172" i="2"/>
  <c r="R172" i="2" s="1"/>
  <c r="Q173" i="2"/>
  <c r="R173" i="2" s="1"/>
  <c r="Q174" i="2"/>
  <c r="Q175" i="2"/>
  <c r="Q176" i="2"/>
  <c r="S176" i="2" s="1"/>
  <c r="T176" i="2" s="1"/>
  <c r="Q177" i="2"/>
  <c r="S177" i="2" s="1"/>
  <c r="Q178" i="2"/>
  <c r="S178" i="2" s="1"/>
  <c r="T178" i="2" s="1"/>
  <c r="Q179" i="2"/>
  <c r="R179" i="2" s="1"/>
  <c r="Q180" i="2"/>
  <c r="R180" i="2" s="1"/>
  <c r="Q181" i="2"/>
  <c r="R181" i="2" s="1"/>
  <c r="Q182" i="2"/>
  <c r="Q183" i="2"/>
  <c r="Q184" i="2"/>
  <c r="S184" i="2" s="1"/>
  <c r="Q185" i="2"/>
  <c r="S185" i="2" s="1"/>
  <c r="T185" i="2" s="1"/>
  <c r="Q186" i="2"/>
  <c r="S186" i="2" s="1"/>
  <c r="Q187" i="2"/>
  <c r="R187" i="2" s="1"/>
  <c r="Q188" i="2"/>
  <c r="R188" i="2" s="1"/>
  <c r="Q189" i="2"/>
  <c r="R189" i="2" s="1"/>
  <c r="Q190" i="2"/>
  <c r="Q191" i="2"/>
  <c r="Q192" i="2"/>
  <c r="S192" i="2" s="1"/>
  <c r="Q193" i="2"/>
  <c r="S193" i="2" s="1"/>
  <c r="T193" i="2" s="1"/>
  <c r="Q194" i="2"/>
  <c r="S194" i="2" s="1"/>
  <c r="Q195" i="2"/>
  <c r="R195" i="2" s="1"/>
  <c r="Q196" i="2"/>
  <c r="R196" i="2" s="1"/>
  <c r="Q197" i="2"/>
  <c r="R197" i="2" s="1"/>
  <c r="Q198" i="2"/>
  <c r="Q199" i="2"/>
  <c r="Q200" i="2"/>
  <c r="S200" i="2" s="1"/>
  <c r="Q201" i="2"/>
  <c r="S201" i="2" s="1"/>
  <c r="Q202" i="2"/>
  <c r="S202" i="2" s="1"/>
  <c r="T202" i="2" s="1"/>
  <c r="Q203" i="2"/>
  <c r="R203" i="2" s="1"/>
  <c r="Q204" i="2"/>
  <c r="R204" i="2" s="1"/>
  <c r="Q205" i="2"/>
  <c r="R205" i="2" s="1"/>
  <c r="Q206" i="2"/>
  <c r="Q207" i="2"/>
  <c r="Q208" i="2"/>
  <c r="S208" i="2" s="1"/>
  <c r="T208" i="2" s="1"/>
  <c r="Q209" i="2"/>
  <c r="S209" i="2" s="1"/>
  <c r="Q210" i="2"/>
  <c r="S210" i="2" s="1"/>
  <c r="T210" i="2" s="1"/>
  <c r="Q211" i="2"/>
  <c r="R211" i="2" s="1"/>
  <c r="Q212" i="2"/>
  <c r="R212" i="2" s="1"/>
  <c r="Q213" i="2"/>
  <c r="R213" i="2" s="1"/>
  <c r="Q214" i="2"/>
  <c r="S214" i="2" s="1"/>
  <c r="T214" i="2" s="1"/>
  <c r="Q215" i="2"/>
  <c r="Q216" i="2"/>
  <c r="S216" i="2" s="1"/>
  <c r="T216" i="2" s="1"/>
  <c r="Q217" i="2"/>
  <c r="S217" i="2" s="1"/>
  <c r="Q218" i="2"/>
  <c r="R218" i="2" s="1"/>
  <c r="Q219" i="2"/>
  <c r="R219" i="2" s="1"/>
  <c r="Q220" i="2"/>
  <c r="R220" i="2" s="1"/>
  <c r="Q221" i="2"/>
  <c r="R221" i="2" s="1"/>
  <c r="Q222" i="2"/>
  <c r="Q223" i="2"/>
  <c r="Q224" i="2"/>
  <c r="S224" i="2" s="1"/>
  <c r="T224" i="2" s="1"/>
  <c r="Q225" i="2"/>
  <c r="S225" i="2" s="1"/>
  <c r="Q226" i="2"/>
  <c r="S226" i="2" s="1"/>
  <c r="T226" i="2" s="1"/>
  <c r="Q227" i="2"/>
  <c r="R227" i="2" s="1"/>
  <c r="Q228" i="2"/>
  <c r="R228" i="2" s="1"/>
  <c r="R2" i="2"/>
  <c r="R3" i="2"/>
  <c r="R6" i="2"/>
  <c r="R7" i="2"/>
  <c r="R8" i="2"/>
  <c r="R10" i="2"/>
  <c r="R11" i="2"/>
  <c r="R14" i="2"/>
  <c r="R15" i="2"/>
  <c r="R16" i="2"/>
  <c r="R17" i="2"/>
  <c r="R18" i="2"/>
  <c r="R19" i="2"/>
  <c r="R22" i="2"/>
  <c r="R23" i="2"/>
  <c r="R24" i="2"/>
  <c r="R25" i="2"/>
  <c r="R26" i="2"/>
  <c r="R27" i="2"/>
  <c r="R30" i="2"/>
  <c r="R31" i="2"/>
  <c r="R32" i="2"/>
  <c r="R33" i="2"/>
  <c r="R34" i="2"/>
  <c r="R35" i="2"/>
  <c r="R38" i="2"/>
  <c r="R39" i="2"/>
  <c r="R40" i="2"/>
  <c r="R41" i="2"/>
  <c r="R42" i="2"/>
  <c r="R43" i="2"/>
  <c r="R46" i="2"/>
  <c r="R47" i="2"/>
  <c r="R48" i="2"/>
  <c r="R49" i="2"/>
  <c r="R50" i="2"/>
  <c r="R51" i="2"/>
  <c r="R54" i="2"/>
  <c r="R55" i="2"/>
  <c r="R56" i="2"/>
  <c r="R57" i="2"/>
  <c r="R58" i="2"/>
  <c r="R59" i="2"/>
  <c r="R62" i="2"/>
  <c r="R63" i="2"/>
  <c r="R64" i="2"/>
  <c r="R65" i="2"/>
  <c r="R67" i="2"/>
  <c r="R70" i="2"/>
  <c r="R71" i="2"/>
  <c r="R73" i="2"/>
  <c r="R74" i="2"/>
  <c r="R75" i="2"/>
  <c r="R78" i="2"/>
  <c r="R79" i="2"/>
  <c r="R80" i="2"/>
  <c r="R81" i="2"/>
  <c r="R83" i="2"/>
  <c r="R86" i="2"/>
  <c r="R87" i="2"/>
  <c r="R88" i="2"/>
  <c r="R89" i="2"/>
  <c r="R91" i="2"/>
  <c r="R94" i="2"/>
  <c r="R95" i="2"/>
  <c r="R96" i="2"/>
  <c r="R97" i="2"/>
  <c r="R99" i="2"/>
  <c r="R102" i="2"/>
  <c r="R103" i="2"/>
  <c r="R104" i="2"/>
  <c r="R105" i="2"/>
  <c r="R106" i="2"/>
  <c r="R107" i="2"/>
  <c r="R110" i="2"/>
  <c r="R111" i="2"/>
  <c r="R112" i="2"/>
  <c r="R113" i="2"/>
  <c r="R115" i="2"/>
  <c r="R118" i="2"/>
  <c r="R119" i="2"/>
  <c r="R120" i="2"/>
  <c r="R121" i="2"/>
  <c r="R123" i="2"/>
  <c r="R126" i="2"/>
  <c r="R127" i="2"/>
  <c r="R128" i="2"/>
  <c r="R129" i="2"/>
  <c r="R131" i="2"/>
  <c r="R134" i="2"/>
  <c r="R135" i="2"/>
  <c r="R136" i="2"/>
  <c r="R137" i="2"/>
  <c r="R138" i="2"/>
  <c r="R139" i="2"/>
  <c r="R142" i="2"/>
  <c r="R143" i="2"/>
  <c r="R145" i="2"/>
  <c r="R147" i="2"/>
  <c r="R150" i="2"/>
  <c r="R151" i="2"/>
  <c r="R153" i="2"/>
  <c r="R158" i="2"/>
  <c r="R159" i="2"/>
  <c r="R160" i="2"/>
  <c r="R161" i="2"/>
  <c r="R166" i="2"/>
  <c r="R167" i="2"/>
  <c r="R169" i="2"/>
  <c r="R174" i="2"/>
  <c r="R175" i="2"/>
  <c r="R177" i="2"/>
  <c r="R182" i="2"/>
  <c r="R183" i="2"/>
  <c r="R184" i="2"/>
  <c r="R185" i="2"/>
  <c r="R190" i="2"/>
  <c r="R191" i="2"/>
  <c r="R198" i="2"/>
  <c r="R199" i="2"/>
  <c r="R200" i="2"/>
  <c r="R201" i="2"/>
  <c r="R206" i="2"/>
  <c r="R207" i="2"/>
  <c r="R208" i="2"/>
  <c r="R209" i="2"/>
  <c r="R210" i="2"/>
  <c r="R214" i="2"/>
  <c r="R215" i="2"/>
  <c r="R222" i="2"/>
  <c r="R223" i="2"/>
  <c r="R224" i="2"/>
  <c r="R225" i="2"/>
  <c r="S2" i="2"/>
  <c r="S3" i="2"/>
  <c r="S6" i="2"/>
  <c r="T6" i="2" s="1"/>
  <c r="S7" i="2"/>
  <c r="T7" i="2" s="1"/>
  <c r="S8" i="2"/>
  <c r="S10" i="2"/>
  <c r="S11" i="2"/>
  <c r="S14" i="2"/>
  <c r="T14" i="2" s="1"/>
  <c r="S15" i="2"/>
  <c r="S16" i="2"/>
  <c r="T16" i="2" s="1"/>
  <c r="S18" i="2"/>
  <c r="S19" i="2"/>
  <c r="S22" i="2"/>
  <c r="S23" i="2"/>
  <c r="T23" i="2" s="1"/>
  <c r="S24" i="2"/>
  <c r="S26" i="2"/>
  <c r="S27" i="2"/>
  <c r="S30" i="2"/>
  <c r="S31" i="2"/>
  <c r="T31" i="2" s="1"/>
  <c r="S32" i="2"/>
  <c r="S34" i="2"/>
  <c r="S35" i="2"/>
  <c r="T35" i="2" s="1"/>
  <c r="S38" i="2"/>
  <c r="S39" i="2"/>
  <c r="T39" i="2" s="1"/>
  <c r="S40" i="2"/>
  <c r="S42" i="2"/>
  <c r="S43" i="2"/>
  <c r="S46" i="2"/>
  <c r="S47" i="2"/>
  <c r="T47" i="2" s="1"/>
  <c r="S48" i="2"/>
  <c r="S50" i="2"/>
  <c r="S51" i="2"/>
  <c r="T51" i="2" s="1"/>
  <c r="S54" i="2"/>
  <c r="S55" i="2"/>
  <c r="T55" i="2" s="1"/>
  <c r="S56" i="2"/>
  <c r="S58" i="2"/>
  <c r="S59" i="2"/>
  <c r="S62" i="2"/>
  <c r="S63" i="2"/>
  <c r="T63" i="2" s="1"/>
  <c r="S64" i="2"/>
  <c r="S67" i="2"/>
  <c r="T67" i="2" s="1"/>
  <c r="S70" i="2"/>
  <c r="S71" i="2"/>
  <c r="T71" i="2" s="1"/>
  <c r="S74" i="2"/>
  <c r="S75" i="2"/>
  <c r="T75" i="2" s="1"/>
  <c r="S78" i="2"/>
  <c r="S79" i="2"/>
  <c r="T79" i="2" s="1"/>
  <c r="S80" i="2"/>
  <c r="S83" i="2"/>
  <c r="S86" i="2"/>
  <c r="S87" i="2"/>
  <c r="T87" i="2" s="1"/>
  <c r="S88" i="2"/>
  <c r="S91" i="2"/>
  <c r="S94" i="2"/>
  <c r="S95" i="2"/>
  <c r="T95" i="2" s="1"/>
  <c r="S96" i="2"/>
  <c r="S99" i="2"/>
  <c r="T99" i="2" s="1"/>
  <c r="S102" i="2"/>
  <c r="S103" i="2"/>
  <c r="T103" i="2" s="1"/>
  <c r="S107" i="2"/>
  <c r="S110" i="2"/>
  <c r="S111" i="2"/>
  <c r="T111" i="2" s="1"/>
  <c r="S112" i="2"/>
  <c r="S115" i="2"/>
  <c r="T115" i="2" s="1"/>
  <c r="S118" i="2"/>
  <c r="S119" i="2"/>
  <c r="T119" i="2" s="1"/>
  <c r="S123" i="2"/>
  <c r="S126" i="2"/>
  <c r="S127" i="2"/>
  <c r="T127" i="2" s="1"/>
  <c r="S131" i="2"/>
  <c r="T131" i="2" s="1"/>
  <c r="S134" i="2"/>
  <c r="S135" i="2"/>
  <c r="T135" i="2" s="1"/>
  <c r="S139" i="2"/>
  <c r="T139" i="2" s="1"/>
  <c r="S142" i="2"/>
  <c r="S143" i="2"/>
  <c r="T143" i="2" s="1"/>
  <c r="S147" i="2"/>
  <c r="S150" i="2"/>
  <c r="S151" i="2"/>
  <c r="T151" i="2" s="1"/>
  <c r="S155" i="2"/>
  <c r="T155" i="2" s="1"/>
  <c r="S158" i="2"/>
  <c r="S159" i="2"/>
  <c r="T159" i="2" s="1"/>
  <c r="S163" i="2"/>
  <c r="S166" i="2"/>
  <c r="S167" i="2"/>
  <c r="T167" i="2" s="1"/>
  <c r="S171" i="2"/>
  <c r="S174" i="2"/>
  <c r="T174" i="2" s="1"/>
  <c r="S175" i="2"/>
  <c r="S179" i="2"/>
  <c r="S182" i="2"/>
  <c r="T182" i="2" s="1"/>
  <c r="S183" i="2"/>
  <c r="T183" i="2" s="1"/>
  <c r="S187" i="2"/>
  <c r="S190" i="2"/>
  <c r="S191" i="2"/>
  <c r="T191" i="2" s="1"/>
  <c r="S195" i="2"/>
  <c r="T195" i="2" s="1"/>
  <c r="S198" i="2"/>
  <c r="S199" i="2"/>
  <c r="T199" i="2" s="1"/>
  <c r="S203" i="2"/>
  <c r="S206" i="2"/>
  <c r="T206" i="2" s="1"/>
  <c r="S207" i="2"/>
  <c r="S211" i="2"/>
  <c r="S215" i="2"/>
  <c r="S219" i="2"/>
  <c r="S222" i="2"/>
  <c r="T222" i="2" s="1"/>
  <c r="S223" i="2"/>
  <c r="T2" i="2"/>
  <c r="T3" i="2"/>
  <c r="T4" i="2"/>
  <c r="T8" i="2"/>
  <c r="T10" i="2"/>
  <c r="T11" i="2"/>
  <c r="T12" i="2"/>
  <c r="T15" i="2"/>
  <c r="T17" i="2"/>
  <c r="T18" i="2"/>
  <c r="T19" i="2"/>
  <c r="T20" i="2"/>
  <c r="T22" i="2"/>
  <c r="T24" i="2"/>
  <c r="T25" i="2"/>
  <c r="T26" i="2"/>
  <c r="T27" i="2"/>
  <c r="T28" i="2"/>
  <c r="T30" i="2"/>
  <c r="T32" i="2"/>
  <c r="T34" i="2"/>
  <c r="T36" i="2"/>
  <c r="T38" i="2"/>
  <c r="T40" i="2"/>
  <c r="T42" i="2"/>
  <c r="T43" i="2"/>
  <c r="T44" i="2"/>
  <c r="T46" i="2"/>
  <c r="T48" i="2"/>
  <c r="T50" i="2"/>
  <c r="T52" i="2"/>
  <c r="T54" i="2"/>
  <c r="T56" i="2"/>
  <c r="T58" i="2"/>
  <c r="T59" i="2"/>
  <c r="T60" i="2"/>
  <c r="T62" i="2"/>
  <c r="T64" i="2"/>
  <c r="T66" i="2"/>
  <c r="T68" i="2"/>
  <c r="T70" i="2"/>
  <c r="T72" i="2"/>
  <c r="T74" i="2"/>
  <c r="T76" i="2"/>
  <c r="T78" i="2"/>
  <c r="T80" i="2"/>
  <c r="T82" i="2"/>
  <c r="T83" i="2"/>
  <c r="T84" i="2"/>
  <c r="T86" i="2"/>
  <c r="T88" i="2"/>
  <c r="T90" i="2"/>
  <c r="T91" i="2"/>
  <c r="T92" i="2"/>
  <c r="T94" i="2"/>
  <c r="T96" i="2"/>
  <c r="T98" i="2"/>
  <c r="T100" i="2"/>
  <c r="T102" i="2"/>
  <c r="T104" i="2"/>
  <c r="T106" i="2"/>
  <c r="T107" i="2"/>
  <c r="T108" i="2"/>
  <c r="T110" i="2"/>
  <c r="T112" i="2"/>
  <c r="T114" i="2"/>
  <c r="T116" i="2"/>
  <c r="T118" i="2"/>
  <c r="T120" i="2"/>
  <c r="T122" i="2"/>
  <c r="T123" i="2"/>
  <c r="T124" i="2"/>
  <c r="T126" i="2"/>
  <c r="T128" i="2"/>
  <c r="T130" i="2"/>
  <c r="T132" i="2"/>
  <c r="T134" i="2"/>
  <c r="T136" i="2"/>
  <c r="T138" i="2"/>
  <c r="T140" i="2"/>
  <c r="T142" i="2"/>
  <c r="T144" i="2"/>
  <c r="T146" i="2"/>
  <c r="T147" i="2"/>
  <c r="T148" i="2"/>
  <c r="T150" i="2"/>
  <c r="T152" i="2"/>
  <c r="T154" i="2"/>
  <c r="T156" i="2"/>
  <c r="T158" i="2"/>
  <c r="T160" i="2"/>
  <c r="T162" i="2"/>
  <c r="T163" i="2"/>
  <c r="T164" i="2"/>
  <c r="T166" i="2"/>
  <c r="T168" i="2"/>
  <c r="T171" i="2"/>
  <c r="T173" i="2"/>
  <c r="T175" i="2"/>
  <c r="T177" i="2"/>
  <c r="T179" i="2"/>
  <c r="T181" i="2"/>
  <c r="T184" i="2"/>
  <c r="T186" i="2"/>
  <c r="T187" i="2"/>
  <c r="T188" i="2"/>
  <c r="T190" i="2"/>
  <c r="T192" i="2"/>
  <c r="T194" i="2"/>
  <c r="T196" i="2"/>
  <c r="T198" i="2"/>
  <c r="T200" i="2"/>
  <c r="T201" i="2"/>
  <c r="T203" i="2"/>
  <c r="T205" i="2"/>
  <c r="T207" i="2"/>
  <c r="T209" i="2"/>
  <c r="T211" i="2"/>
  <c r="T213" i="2"/>
  <c r="T215" i="2"/>
  <c r="T217" i="2"/>
  <c r="T219" i="2"/>
  <c r="T221" i="2"/>
  <c r="T223" i="2"/>
  <c r="T225" i="2"/>
  <c r="T227" i="2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R194" i="2" l="1"/>
  <c r="R146" i="2"/>
  <c r="R82" i="2"/>
  <c r="R72" i="2"/>
  <c r="R192" i="2"/>
  <c r="R178" i="2"/>
  <c r="R154" i="2"/>
  <c r="R144" i="2"/>
  <c r="R122" i="2"/>
  <c r="R90" i="2"/>
  <c r="S66" i="2"/>
  <c r="R216" i="2"/>
  <c r="R202" i="2"/>
  <c r="S227" i="2"/>
  <c r="R226" i="2"/>
  <c r="R176" i="2"/>
  <c r="R162" i="2"/>
  <c r="R152" i="2"/>
  <c r="R130" i="2"/>
  <c r="R98" i="2"/>
  <c r="S114" i="2"/>
  <c r="R186" i="2"/>
  <c r="R170" i="2"/>
  <c r="S218" i="2"/>
  <c r="T218" i="2" s="1"/>
  <c r="R193" i="2"/>
  <c r="R168" i="2"/>
  <c r="R217" i="2"/>
  <c r="S221" i="2"/>
  <c r="S213" i="2"/>
  <c r="S205" i="2"/>
  <c r="S197" i="2"/>
  <c r="T197" i="2" s="1"/>
  <c r="S189" i="2"/>
  <c r="T189" i="2" s="1"/>
  <c r="S181" i="2"/>
  <c r="S173" i="2"/>
  <c r="S165" i="2"/>
  <c r="T165" i="2" s="1"/>
  <c r="S157" i="2"/>
  <c r="T157" i="2" s="1"/>
  <c r="S149" i="2"/>
  <c r="T149" i="2" s="1"/>
  <c r="S141" i="2"/>
  <c r="T141" i="2" s="1"/>
  <c r="S133" i="2"/>
  <c r="T133" i="2" s="1"/>
  <c r="S125" i="2"/>
  <c r="T125" i="2" s="1"/>
  <c r="S117" i="2"/>
  <c r="T117" i="2" s="1"/>
  <c r="S109" i="2"/>
  <c r="T109" i="2" s="1"/>
  <c r="S101" i="2"/>
  <c r="T101" i="2" s="1"/>
  <c r="S93" i="2"/>
  <c r="T93" i="2" s="1"/>
  <c r="S85" i="2"/>
  <c r="T85" i="2" s="1"/>
  <c r="S77" i="2"/>
  <c r="T77" i="2" s="1"/>
  <c r="S69" i="2"/>
  <c r="T69" i="2" s="1"/>
  <c r="S61" i="2"/>
  <c r="T61" i="2" s="1"/>
  <c r="S53" i="2"/>
  <c r="T53" i="2" s="1"/>
  <c r="S45" i="2"/>
  <c r="T45" i="2" s="1"/>
  <c r="S37" i="2"/>
  <c r="T37" i="2" s="1"/>
  <c r="S29" i="2"/>
  <c r="T29" i="2" s="1"/>
  <c r="S21" i="2"/>
  <c r="T21" i="2" s="1"/>
  <c r="S13" i="2"/>
  <c r="T13" i="2" s="1"/>
  <c r="S5" i="2"/>
  <c r="T5" i="2" s="1"/>
  <c r="S228" i="2"/>
  <c r="T228" i="2" s="1"/>
  <c r="S220" i="2"/>
  <c r="T220" i="2" s="1"/>
  <c r="S212" i="2"/>
  <c r="T212" i="2" s="1"/>
  <c r="S204" i="2"/>
  <c r="T204" i="2" s="1"/>
  <c r="S196" i="2"/>
  <c r="S188" i="2"/>
  <c r="S180" i="2"/>
  <c r="T180" i="2" s="1"/>
  <c r="S172" i="2"/>
  <c r="T172" i="2" s="1"/>
  <c r="S164" i="2"/>
  <c r="S156" i="2"/>
  <c r="S148" i="2"/>
  <c r="S140" i="2"/>
  <c r="S132" i="2"/>
  <c r="S124" i="2"/>
  <c r="S116" i="2"/>
  <c r="S108" i="2"/>
  <c r="S100" i="2"/>
  <c r="S92" i="2"/>
  <c r="S84" i="2"/>
  <c r="S76" i="2"/>
  <c r="S68" i="2"/>
  <c r="S60" i="2"/>
  <c r="S52" i="2"/>
  <c r="S44" i="2"/>
  <c r="S36" i="2"/>
  <c r="S28" i="2"/>
  <c r="S20" i="2"/>
  <c r="S12" i="2"/>
  <c r="S4" i="2"/>
  <c r="R9" i="2"/>
  <c r="I2" i="1" a="1"/>
  <c r="X2" i="1" s="1"/>
  <c r="C2" i="1" a="1"/>
  <c r="B2" i="1" a="1"/>
  <c r="D2" i="1" a="1"/>
  <c r="O3" i="1" s="1"/>
  <c r="G2" i="1" a="1"/>
  <c r="G2" i="1" s="1"/>
  <c r="H2" i="1" a="1"/>
  <c r="E100" i="1" l="1"/>
  <c r="E101" i="1"/>
  <c r="E102" i="1"/>
  <c r="E98" i="1"/>
  <c r="E99" i="1"/>
  <c r="E97" i="1"/>
  <c r="E94" i="1"/>
  <c r="E95" i="1"/>
  <c r="E96" i="1"/>
  <c r="E92" i="1"/>
  <c r="E93" i="1"/>
  <c r="X3" i="1"/>
  <c r="X4" i="1"/>
  <c r="E87" i="1"/>
  <c r="E88" i="1"/>
  <c r="E89" i="1"/>
  <c r="E90" i="1"/>
  <c r="E91" i="1"/>
  <c r="E85" i="1"/>
  <c r="E86" i="1"/>
  <c r="E84" i="1"/>
  <c r="E82" i="1"/>
  <c r="E83" i="1"/>
  <c r="E80" i="1"/>
  <c r="E81" i="1"/>
  <c r="E76" i="1"/>
  <c r="E77" i="1"/>
  <c r="E78" i="1"/>
  <c r="E79" i="1"/>
  <c r="E75" i="1"/>
  <c r="E74" i="1"/>
  <c r="E73" i="1"/>
  <c r="E72" i="1"/>
  <c r="E70" i="1"/>
  <c r="E71" i="1"/>
  <c r="E69" i="1"/>
  <c r="E68" i="1"/>
  <c r="E67" i="1"/>
  <c r="E66" i="1"/>
  <c r="H2" i="1"/>
  <c r="J21" i="1"/>
  <c r="E63" i="1"/>
  <c r="E65" i="1"/>
  <c r="E64" i="1"/>
  <c r="E60" i="1"/>
  <c r="E62" i="1"/>
  <c r="E61" i="1"/>
  <c r="E58" i="1"/>
  <c r="E59" i="1"/>
  <c r="E56" i="1"/>
  <c r="E57" i="1"/>
  <c r="E55" i="1"/>
  <c r="E54" i="1"/>
  <c r="E53" i="1"/>
  <c r="E48" i="1"/>
  <c r="E51" i="1"/>
  <c r="E49" i="1"/>
  <c r="E50" i="1"/>
  <c r="E52" i="1"/>
  <c r="E47" i="1"/>
  <c r="E45" i="1"/>
  <c r="E46" i="1"/>
  <c r="E44" i="1"/>
  <c r="E43" i="1"/>
  <c r="E42" i="1"/>
  <c r="O2" i="1"/>
  <c r="E21" i="1"/>
  <c r="E40" i="1"/>
  <c r="E41" i="1"/>
  <c r="E39" i="1"/>
  <c r="E37" i="1"/>
  <c r="E38" i="1"/>
  <c r="E36" i="1"/>
  <c r="E34" i="1"/>
  <c r="E35" i="1"/>
  <c r="I2" i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R3" i="1" s="1"/>
  <c r="C2" i="1"/>
  <c r="R2" i="1" s="1"/>
  <c r="F2" i="1" a="1"/>
  <c r="F2" i="1" s="1"/>
  <c r="B2" i="1"/>
  <c r="A2" i="1" a="1"/>
  <c r="A2" i="1" s="1"/>
  <c r="U3" i="1" l="1"/>
  <c r="U2" i="1"/>
  <c r="U4" i="1"/>
  <c r="L3" i="1"/>
  <c r="L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<sst xmlns="http://schemas.openxmlformats.org/spreadsheetml/2006/main" count="741" uniqueCount="53">
  <si>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</si>
  <si>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</si>
  <si>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</si>
  <si>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</si>
  <si>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</si>
  <si>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</si>
  <si>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</si>
  <si>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</si>
  <si>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</si>
  <si>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</si>
  <si>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</si>
  <si>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</si>
  <si>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</si>
  <si>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</si>
  <si>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</si>
  <si>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</si>
  <si>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</si>
  <si>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</si>
  <si>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</si>
  <si>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</si>
  <si>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</si>
  <si>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</si>
  <si>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</si>
  <si>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</si>
  <si>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</si>
  <si>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</si>
  <si>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</si>
  <si>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</si>
  <si>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</si>
  <si>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</si>
  <si>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</si>
  <si>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</si>
  <si>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</si>
  <si>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</si>
  <si>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</si>
  <si>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</si>
  <si>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</si>
  <si>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</si>
  <si>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</si>
  <si>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</si>
  <si>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</si>
  <si>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</si>
  <si>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</si>
  <si>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</si>
  <si>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</si>
  <si>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</si>
  <si>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</si>
  <si>
    <t>5990532</t>
  </si>
  <si>
    <t>31262308</t>
  </si>
  <si>
    <t>Resultado (pruebas 25 mayo)</t>
  </si>
  <si>
    <t>Tiempo (segundos)</t>
  </si>
  <si>
    <t>5990070#2</t>
  </si>
  <si>
    <t>5990070#3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</si>
</sst>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1">
    <cellStyle name="Normal" xfId="0" builtinId="0"/>
  </cellStyles>
  <dxfs count="49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ont>
        <b/>
        <i val="0"/>
        <color rgb="FF00B05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Modo Base</c:v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Gráficas!$L$2</c:f>
              <c:numCache>
                <c:formatCode>0</c:formatCode>
                <c:ptCount val="1"/>
                <c:pt idx="0">
                  <c:v>249.02970297029702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v>Modo Inteligente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Gráficas!$L$1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Gráficas!$L$3</c:f>
              <c:numCache>
                <c:formatCode>0</c:formatCode>
                <c:ptCount val="1"/>
                <c:pt idx="0">
                  <c:v>206.13861386138615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  <c:majorUnit val="25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Relación entre semáforos intervenidos y reducción porcentual del tiempo de viaje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Gráficas!$F$2:$F$101</c:f>
              <c:numCache>
                <c:formatCode>0.00%</c:formatCode>
                <c:ptCount val="10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  <c:pt idx="72">
                  <c:v>8.0402010050251146E-2</c:v>
                </c:pt>
                <c:pt idx="73">
                  <c:v>0.34673366834170855</c:v>
                </c:pt>
                <c:pt idx="74">
                  <c:v>0.29145728643216073</c:v>
                </c:pt>
                <c:pt idx="75">
                  <c:v>0.25125628140703515</c:v>
                </c:pt>
                <c:pt idx="76">
                  <c:v>0.22110552763819094</c:v>
                </c:pt>
                <c:pt idx="77">
                  <c:v>0.1909547738693467</c:v>
                </c:pt>
                <c:pt idx="78">
                  <c:v>0.35175879396984921</c:v>
                </c:pt>
                <c:pt idx="79">
                  <c:v>0.34673366834170855</c:v>
                </c:pt>
                <c:pt idx="80">
                  <c:v>0.23115577889447239</c:v>
                </c:pt>
                <c:pt idx="81">
                  <c:v>0.27135678391959794</c:v>
                </c:pt>
                <c:pt idx="82">
                  <c:v>0.15577889447236182</c:v>
                </c:pt>
                <c:pt idx="83">
                  <c:v>0.26633165829145727</c:v>
                </c:pt>
                <c:pt idx="84">
                  <c:v>0.35678391959798994</c:v>
                </c:pt>
                <c:pt idx="85">
                  <c:v>0.24120603015075373</c:v>
                </c:pt>
                <c:pt idx="86">
                  <c:v>0.25615763546798032</c:v>
                </c:pt>
                <c:pt idx="87">
                  <c:v>0.25615763546798032</c:v>
                </c:pt>
                <c:pt idx="88">
                  <c:v>6.4999999999999988E-2</c:v>
                </c:pt>
                <c:pt idx="89">
                  <c:v>0.24120603015075373</c:v>
                </c:pt>
                <c:pt idx="90">
                  <c:v>9.4999999999999987E-2</c:v>
                </c:pt>
                <c:pt idx="91">
                  <c:v>-3.6968576709796451E-3</c:v>
                </c:pt>
                <c:pt idx="92">
                  <c:v>0.24623115577889448</c:v>
                </c:pt>
                <c:pt idx="93">
                  <c:v>0.27981651376146782</c:v>
                </c:pt>
                <c:pt idx="94">
                  <c:v>0.24623115577889448</c:v>
                </c:pt>
                <c:pt idx="95">
                  <c:v>0</c:v>
                </c:pt>
                <c:pt idx="96">
                  <c:v>0</c:v>
                </c:pt>
                <c:pt idx="97">
                  <c:v>0.1959798994974874</c:v>
                </c:pt>
                <c:pt idx="98">
                  <c:v>6.5326633165829123E-2</c:v>
                </c:pt>
                <c:pt idx="99">
                  <c:v>0.24120603015075373</c:v>
                </c:pt>
              </c:numCache>
            </c:numRef>
          </c:xVal>
          <c:yVal>
            <c:numRef>
              <c:f>Gráficas!$H$2:$H$101</c:f>
              <c:numCache>
                <c:formatCode>General</c:formatCode>
                <c:ptCount val="100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1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5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4</c:v>
                </c:pt>
                <c:pt idx="62">
                  <c:v>4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2</c:v>
                </c:pt>
                <c:pt idx="68">
                  <c:v>3</c:v>
                </c:pt>
                <c:pt idx="69">
                  <c:v>5</c:v>
                </c:pt>
                <c:pt idx="70">
                  <c:v>1</c:v>
                </c:pt>
                <c:pt idx="71">
                  <c:v>3</c:v>
                </c:pt>
                <c:pt idx="72">
                  <c:v>5</c:v>
                </c:pt>
                <c:pt idx="73">
                  <c:v>1</c:v>
                </c:pt>
                <c:pt idx="74">
                  <c:v>3</c:v>
                </c:pt>
                <c:pt idx="75">
                  <c:v>2</c:v>
                </c:pt>
                <c:pt idx="76">
                  <c:v>3</c:v>
                </c:pt>
                <c:pt idx="77">
                  <c:v>6</c:v>
                </c:pt>
                <c:pt idx="78">
                  <c:v>2</c:v>
                </c:pt>
                <c:pt idx="79">
                  <c:v>2</c:v>
                </c:pt>
                <c:pt idx="80">
                  <c:v>5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6</c:v>
                </c:pt>
                <c:pt idx="91">
                  <c:v>7</c:v>
                </c:pt>
                <c:pt idx="92">
                  <c:v>5</c:v>
                </c:pt>
                <c:pt idx="93">
                  <c:v>4</c:v>
                </c:pt>
                <c:pt idx="94">
                  <c:v>4</c:v>
                </c:pt>
                <c:pt idx="95">
                  <c:v>1</c:v>
                </c:pt>
                <c:pt idx="96">
                  <c:v>6</c:v>
                </c:pt>
                <c:pt idx="97">
                  <c:v>6</c:v>
                </c:pt>
                <c:pt idx="98">
                  <c:v>5</c:v>
                </c:pt>
                <c:pt idx="9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>
                    <a:solidFill>
                      <a:sysClr val="windowText" lastClr="000000"/>
                    </a:solidFill>
                  </a:rPr>
                  <a:t>Porcentaje de reducción</a:t>
                </a:r>
                <a:r>
                  <a:rPr lang="es-ES" baseline="0">
                    <a:solidFill>
                      <a:sysClr val="windowText" lastClr="000000"/>
                    </a:solidFill>
                  </a:rPr>
                  <a:t> de tiempo</a:t>
                </a:r>
                <a:endParaRPr lang="es-E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2"/>
        <c:crossBetween val="midCat"/>
        <c:majorUnit val="0.1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>
                    <a:solidFill>
                      <a:sysClr val="windowText" lastClr="000000"/>
                    </a:solidFill>
                  </a:rPr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25 mayo):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Modo Base</c:v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Gráficas!$O$1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Gráficas!$O$2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v>Modo Inteligente</c:v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6035353535353535E-3"/>
                  <c:y val="1.04861111111110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E7-4D4D-AB8A-B89C625D46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Gráficas!$O$1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Gráficas!$O$3</c:f>
              <c:numCache>
                <c:formatCode>0</c:formatCode>
                <c:ptCount val="1"/>
                <c:pt idx="0">
                  <c:v>139.4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  <c:majorUnit val="25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Gráficas!$U$1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Gráficas!$T$2:$T$4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Gráficas!$U$2:$U$4</c:f>
              <c:numCache>
                <c:formatCode>0</c:formatCode>
                <c:ptCount val="3"/>
                <c:pt idx="0">
                  <c:v>90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25</a:t>
            </a:r>
            <a:r>
              <a:rPr lang="es-ES" sz="1400" b="1" baseline="0">
                <a:solidFill>
                  <a:schemeClr val="tx1"/>
                </a:solidFill>
              </a:rPr>
              <a:t> mayo</a:t>
            </a:r>
            <a:r>
              <a:rPr lang="es-ES" sz="1400" b="1">
                <a:solidFill>
                  <a:schemeClr val="tx1"/>
                </a:solidFill>
              </a:rPr>
              <a:t>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44917644512E-2"/>
          <c:y val="0.1154261073692415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1"/>
          <c:order val="0"/>
          <c:tx>
            <c:v>Modo Inteligente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934864167202401E-3"/>
                  <c:y val="6.633922506766919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dLbl>
              <c:idx val="1"/>
              <c:layout>
                <c:manualLayout>
                  <c:x val="0"/>
                  <c:y val="6.223333223695029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DF7-4A28-A95E-3117260A256B}"/>
                </c:ext>
              </c:extLst>
            </c:dLbl>
            <c:dLbl>
              <c:idx val="2"/>
              <c:layout>
                <c:manualLayout>
                  <c:x val="-1.6035034995951795E-3"/>
                  <c:y val="6.377528533368295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F7-4A28-A95E-3117260A256B}"/>
                </c:ext>
              </c:extLst>
            </c:dLbl>
            <c:dLbl>
              <c:idx val="3"/>
              <c:layout>
                <c:manualLayout>
                  <c:x val="-4.8106364514598461E-3"/>
                  <c:y val="6.361214353846659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F7-4A28-A95E-3117260A256B}"/>
                </c:ext>
              </c:extLst>
            </c:dLbl>
            <c:dLbl>
              <c:idx val="4"/>
              <c:layout>
                <c:manualLayout>
                  <c:x val="-1.6035034995950622E-3"/>
                  <c:y val="6.412261947833972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F7-4A28-A95E-3117260A256B}"/>
                </c:ext>
              </c:extLst>
            </c:dLbl>
            <c:dLbl>
              <c:idx val="5"/>
              <c:layout>
                <c:manualLayout>
                  <c:x val="-1.603535353535471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DF7-4A28-A95E-3117260A256B}"/>
                </c:ext>
              </c:extLst>
            </c:dLbl>
            <c:dLbl>
              <c:idx val="6"/>
              <c:layout>
                <c:manualLayout>
                  <c:x val="-3.2071329518646662E-3"/>
                  <c:y val="6.41199881590632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DF7-4A28-A95E-3117260A256B}"/>
                </c:ext>
              </c:extLst>
            </c:dLbl>
            <c:dLbl>
              <c:idx val="7"/>
              <c:layout>
                <c:manualLayout>
                  <c:x val="-1.1730256913422381E-16"/>
                  <c:y val="6.276749005032275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F7-4A28-A95E-3117260A256B}"/>
                </c:ext>
              </c:extLst>
            </c:dLbl>
            <c:dLbl>
              <c:idx val="8"/>
              <c:layout>
                <c:manualLayout>
                  <c:x val="1.6035034995950622E-3"/>
                  <c:y val="6.412261947834034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DF7-4A28-A95E-3117260A256B}"/>
                </c:ext>
              </c:extLst>
            </c:dLbl>
            <c:dLbl>
              <c:idx val="9"/>
              <c:layout>
                <c:manualLayout>
                  <c:x val="0"/>
                  <c:y val="6.411998815906202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F7-4A28-A95E-3117260A256B}"/>
                </c:ext>
              </c:extLst>
            </c:dLbl>
            <c:dLbl>
              <c:idx val="10"/>
              <c:layout>
                <c:manualLayout>
                  <c:x val="0"/>
                  <c:y val="6.412261947834094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DF7-4A28-A95E-3117260A256B}"/>
                </c:ext>
              </c:extLst>
            </c:dLbl>
            <c:dLbl>
              <c:idx val="11"/>
              <c:layout>
                <c:manualLayout>
                  <c:x val="0"/>
                  <c:y val="6.412788211689636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DF7-4A28-A95E-3117260A256B}"/>
                </c:ext>
              </c:extLst>
            </c:dLbl>
            <c:dLbl>
              <c:idx val="12"/>
              <c:layout>
                <c:manualLayout>
                  <c:x val="-3.2071329518647837E-3"/>
                  <c:y val="6.413051343617406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DF7-4A28-A95E-3117260A256B}"/>
                </c:ext>
              </c:extLst>
            </c:dLbl>
            <c:dLbl>
              <c:idx val="13"/>
              <c:layout>
                <c:manualLayout>
                  <c:x val="-4.7987969000528917E-3"/>
                  <c:y val="9.618261355787258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DF7-4A28-A95E-3117260A256B}"/>
                </c:ext>
              </c:extLst>
            </c:dLbl>
            <c:dLbl>
              <c:idx val="14"/>
              <c:layout>
                <c:manualLayout>
                  <c:x val="-3.1991979333685161E-3"/>
                  <c:y val="6.41199881590632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DF7-4A28-A95E-3117260A256B}"/>
                </c:ext>
              </c:extLst>
            </c:dLbl>
            <c:dLbl>
              <c:idx val="15"/>
              <c:layout>
                <c:manualLayout>
                  <c:x val="-3.1991979333685161E-3"/>
                  <c:y val="6.276485873104627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DF7-4A28-A95E-3117260A256B}"/>
                </c:ext>
              </c:extLst>
            </c:dLbl>
            <c:dLbl>
              <c:idx val="16"/>
              <c:layout>
                <c:manualLayout>
                  <c:x val="-1.6035034995951795E-3"/>
                  <c:y val="6.412788211689636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DF7-4A28-A95E-3117260A256B}"/>
                </c:ext>
              </c:extLst>
            </c:dLbl>
            <c:dLbl>
              <c:idx val="17"/>
              <c:layout>
                <c:manualLayout>
                  <c:x val="-3.1991979333685161E-3"/>
                  <c:y val="6.41199881590632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DF7-4A28-A95E-3117260A256B}"/>
                </c:ext>
              </c:extLst>
            </c:dLbl>
            <c:dLbl>
              <c:idx val="18"/>
              <c:layout>
                <c:manualLayout>
                  <c:x val="-3.20310246627932E-3"/>
                  <c:y val="6.412261947834064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DF7-4A28-A95E-3117260A256B}"/>
                </c:ext>
              </c:extLst>
            </c:dLbl>
            <c:dLbl>
              <c:idx val="19"/>
              <c:layout>
                <c:manualLayout>
                  <c:x val="-4.7993007107510598E-3"/>
                  <c:y val="6.412261947834110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DF7-4A28-A95E-3117260A25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133</c:v>
                </c:pt>
                <c:pt idx="1">
                  <c:v>168</c:v>
                </c:pt>
                <c:pt idx="2">
                  <c:v>129</c:v>
                </c:pt>
                <c:pt idx="3">
                  <c:v>145</c:v>
                </c:pt>
                <c:pt idx="4">
                  <c:v>132</c:v>
                </c:pt>
                <c:pt idx="5">
                  <c:v>200</c:v>
                </c:pt>
                <c:pt idx="6">
                  <c:v>151</c:v>
                </c:pt>
                <c:pt idx="7">
                  <c:v>128</c:v>
                </c:pt>
                <c:pt idx="8">
                  <c:v>130</c:v>
                </c:pt>
                <c:pt idx="9">
                  <c:v>130</c:v>
                </c:pt>
                <c:pt idx="10">
                  <c:v>136</c:v>
                </c:pt>
                <c:pt idx="11">
                  <c:v>124</c:v>
                </c:pt>
                <c:pt idx="12">
                  <c:v>164</c:v>
                </c:pt>
                <c:pt idx="13">
                  <c:v>131</c:v>
                </c:pt>
                <c:pt idx="14">
                  <c:v>134</c:v>
                </c:pt>
                <c:pt idx="15">
                  <c:v>134</c:v>
                </c:pt>
                <c:pt idx="16">
                  <c:v>135</c:v>
                </c:pt>
                <c:pt idx="17">
                  <c:v>127</c:v>
                </c:pt>
                <c:pt idx="18">
                  <c:v>123</c:v>
                </c:pt>
                <c:pt idx="19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ser>
          <c:idx val="0"/>
          <c:order val="1"/>
          <c:tx>
            <c:v>Modo Base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204</c:v>
                </c:pt>
                <c:pt idx="1">
                  <c:v>204</c:v>
                </c:pt>
                <c:pt idx="2">
                  <c:v>200.99999999999997</c:v>
                </c:pt>
                <c:pt idx="3">
                  <c:v>200.99999999999997</c:v>
                </c:pt>
                <c:pt idx="4">
                  <c:v>205</c:v>
                </c:pt>
                <c:pt idx="5">
                  <c:v>200</c:v>
                </c:pt>
                <c:pt idx="6">
                  <c:v>200</c:v>
                </c:pt>
                <c:pt idx="7">
                  <c:v>199</c:v>
                </c:pt>
                <c:pt idx="8">
                  <c:v>220.00000000000003</c:v>
                </c:pt>
                <c:pt idx="9">
                  <c:v>200</c:v>
                </c:pt>
                <c:pt idx="10">
                  <c:v>204</c:v>
                </c:pt>
                <c:pt idx="11">
                  <c:v>199</c:v>
                </c:pt>
                <c:pt idx="12">
                  <c:v>200</c:v>
                </c:pt>
                <c:pt idx="13">
                  <c:v>199</c:v>
                </c:pt>
                <c:pt idx="14">
                  <c:v>200</c:v>
                </c:pt>
                <c:pt idx="15">
                  <c:v>199</c:v>
                </c:pt>
                <c:pt idx="16">
                  <c:v>199</c:v>
                </c:pt>
                <c:pt idx="17">
                  <c:v>199</c:v>
                </c:pt>
                <c:pt idx="18">
                  <c:v>200</c:v>
                </c:pt>
                <c:pt idx="19">
                  <c:v>200.99999999999997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900">
                    <a:solidFill>
                      <a:sysClr val="windowText" lastClr="000000"/>
                    </a:solidFill>
                  </a:rPr>
                  <a:t>Tiempo (segundos)</a:t>
                </a:r>
              </a:p>
            </c:rich>
          </c:tx>
          <c:layout>
            <c:manualLayout>
              <c:xMode val="edge"/>
              <c:yMode val="edge"/>
              <c:x val="0.46739784462243722"/>
              <c:y val="0.88021508455383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  <c:majorUnit val="25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38060244251162434"/>
          <c:y val="0.92785510859665898"/>
          <c:w val="0.23879501014978263"/>
          <c:h val="5.5828965603476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25 mayo)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71</c:v>
                </c:pt>
                <c:pt idx="1">
                  <c:v>36</c:v>
                </c:pt>
                <c:pt idx="2">
                  <c:v>71.999999999999972</c:v>
                </c:pt>
                <c:pt idx="3">
                  <c:v>55.999999999999972</c:v>
                </c:pt>
                <c:pt idx="4">
                  <c:v>73</c:v>
                </c:pt>
                <c:pt idx="5">
                  <c:v>0</c:v>
                </c:pt>
                <c:pt idx="6">
                  <c:v>49</c:v>
                </c:pt>
                <c:pt idx="7">
                  <c:v>71</c:v>
                </c:pt>
                <c:pt idx="8">
                  <c:v>90.000000000000028</c:v>
                </c:pt>
                <c:pt idx="9">
                  <c:v>70</c:v>
                </c:pt>
                <c:pt idx="10">
                  <c:v>68</c:v>
                </c:pt>
                <c:pt idx="11">
                  <c:v>75</c:v>
                </c:pt>
                <c:pt idx="12">
                  <c:v>36</c:v>
                </c:pt>
                <c:pt idx="13">
                  <c:v>68</c:v>
                </c:pt>
                <c:pt idx="14">
                  <c:v>66</c:v>
                </c:pt>
                <c:pt idx="15">
                  <c:v>65</c:v>
                </c:pt>
                <c:pt idx="16">
                  <c:v>64</c:v>
                </c:pt>
                <c:pt idx="17">
                  <c:v>72</c:v>
                </c:pt>
                <c:pt idx="18">
                  <c:v>77</c:v>
                </c:pt>
                <c:pt idx="19">
                  <c:v>66.999999999999972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ysClr val="windowText" lastClr="000000"/>
                    </a:solidFill>
                  </a:rPr>
                  <a:t>Tiempo (segundos)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layout>
        <c:manualLayout>
          <c:xMode val="edge"/>
          <c:yMode val="edge"/>
          <c:x val="0.23963194841844396"/>
          <c:y val="2.05100046833868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Gráficas!$Q$2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Gráficas!$R$2</c:f>
              <c:numCache>
                <c:formatCode>0</c:formatCode>
                <c:ptCount val="1"/>
                <c:pt idx="0">
                  <c:v>306.55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Gráficas!$Q$3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Gráficas!$R$1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Gráficas!$R$3</c:f>
              <c:numCache>
                <c:formatCode>0</c:formatCode>
                <c:ptCount val="1"/>
                <c:pt idx="0">
                  <c:v>263.45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Distribución de resultados del modo inteligente (pruebas 25 mayo)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Gráficas!$X$1</c:f>
              <c:strCache>
                <c:ptCount val="1"/>
                <c:pt idx="0">
                  <c:v>Número de pruebas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4E-47AA-B61C-61D4F0934581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4E-47AA-B61C-61D4F0934581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4E-47AA-B61C-61D4F0934581}"/>
              </c:ext>
            </c:extLst>
          </c:dPt>
          <c:dLbls>
            <c:dLbl>
              <c:idx val="0"/>
              <c:layout>
                <c:manualLayout>
                  <c:x val="-3.2050723929953832E-2"/>
                  <c:y val="2.436771401239485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E-47AA-B61C-61D4F0934581}"/>
                </c:ext>
              </c:extLst>
            </c:dLbl>
            <c:dLbl>
              <c:idx val="1"/>
              <c:layout>
                <c:manualLayout>
                  <c:x val="-1.6033035628057473E-3"/>
                  <c:y val="-8.466669018519171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4E-47AA-B61C-61D4F0934581}"/>
                </c:ext>
              </c:extLst>
            </c:dLbl>
            <c:dLbl>
              <c:idx val="2"/>
              <c:layout>
                <c:manualLayout>
                  <c:x val="1.9234086226224453E-2"/>
                  <c:y val="6.19919591379229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4E-47AA-B61C-61D4F093458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Gráficas!$W$2:$W$4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Gráficas!$X$2:$X$4</c:f>
              <c:numCache>
                <c:formatCode>0</c:formatCode>
                <c:ptCount val="3"/>
                <c:pt idx="0">
                  <c:v>19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F4E-47AA-B61C-61D4F09345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 (pruebas 25 mayo)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xVal>
          <c:yVal>
            <c:numRef>
              <c:f>Gráficas!$H$21:$H$40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26-4A15-AA9A-6F75B972E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Porcentaje de reducción</a:t>
                </a:r>
                <a:r>
                  <a:rPr lang="es-ES" baseline="0"/>
                  <a:t> de tiempo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chemeClr val="tx1"/>
                </a:solidFill>
              </a:rPr>
              <a:t>Reducción porcentual del tiempo de viaje 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336678917021873E-2"/>
          <c:y val="0.12886159667649499"/>
          <c:w val="0.92245440559592684"/>
          <c:h val="0.832921159768869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Gráficas!$A$2:$A$101</c:f>
              <c:strCache>
                <c:ptCount val="10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  <c:pt idx="20">
                  <c:v>Prueba 21</c:v>
                </c:pt>
                <c:pt idx="21">
                  <c:v>Prueba 22</c:v>
                </c:pt>
                <c:pt idx="22">
                  <c:v>Prueba 23</c:v>
                </c:pt>
                <c:pt idx="23">
                  <c:v>Prueba 24</c:v>
                </c:pt>
                <c:pt idx="24">
                  <c:v>Prueba 25</c:v>
                </c:pt>
                <c:pt idx="25">
                  <c:v>Prueba 26</c:v>
                </c:pt>
                <c:pt idx="26">
                  <c:v>Prueba 27</c:v>
                </c:pt>
                <c:pt idx="27">
                  <c:v>Prueba 28</c:v>
                </c:pt>
                <c:pt idx="28">
                  <c:v>Prueba 29</c:v>
                </c:pt>
                <c:pt idx="29">
                  <c:v>Prueba 30</c:v>
                </c:pt>
                <c:pt idx="30">
                  <c:v>Prueba 31</c:v>
                </c:pt>
                <c:pt idx="31">
                  <c:v>Prueba 32</c:v>
                </c:pt>
                <c:pt idx="32">
                  <c:v>Prueba 33</c:v>
                </c:pt>
                <c:pt idx="33">
                  <c:v>Prueba 34</c:v>
                </c:pt>
                <c:pt idx="34">
                  <c:v>Prueba 35</c:v>
                </c:pt>
                <c:pt idx="35">
                  <c:v>Prueba 36</c:v>
                </c:pt>
                <c:pt idx="36">
                  <c:v>Prueba 37</c:v>
                </c:pt>
                <c:pt idx="37">
                  <c:v>Prueba 38</c:v>
                </c:pt>
                <c:pt idx="38">
                  <c:v>Prueba 39</c:v>
                </c:pt>
                <c:pt idx="39">
                  <c:v>Prueba 40</c:v>
                </c:pt>
                <c:pt idx="40">
                  <c:v>Prueba 41</c:v>
                </c:pt>
                <c:pt idx="41">
                  <c:v>Prueba 42</c:v>
                </c:pt>
                <c:pt idx="42">
                  <c:v>Prueba 43</c:v>
                </c:pt>
                <c:pt idx="43">
                  <c:v>Prueba 44</c:v>
                </c:pt>
                <c:pt idx="44">
                  <c:v>Prueba 45</c:v>
                </c:pt>
                <c:pt idx="45">
                  <c:v>Prueba 46</c:v>
                </c:pt>
                <c:pt idx="46">
                  <c:v>Prueba 47</c:v>
                </c:pt>
                <c:pt idx="47">
                  <c:v>Prueba 48</c:v>
                </c:pt>
                <c:pt idx="48">
                  <c:v>Prueba 49</c:v>
                </c:pt>
                <c:pt idx="49">
                  <c:v>Prueba 50</c:v>
                </c:pt>
                <c:pt idx="50">
                  <c:v>Prueba 51</c:v>
                </c:pt>
                <c:pt idx="51">
                  <c:v>Prueba 52</c:v>
                </c:pt>
                <c:pt idx="52">
                  <c:v>Prueba 53</c:v>
                </c:pt>
                <c:pt idx="53">
                  <c:v>Prueba 54</c:v>
                </c:pt>
                <c:pt idx="54">
                  <c:v>Prueba 55</c:v>
                </c:pt>
                <c:pt idx="55">
                  <c:v>Prueba 56</c:v>
                </c:pt>
                <c:pt idx="56">
                  <c:v>Prueba 57</c:v>
                </c:pt>
                <c:pt idx="57">
                  <c:v>Prueba 58</c:v>
                </c:pt>
                <c:pt idx="58">
                  <c:v>Prueba 59</c:v>
                </c:pt>
                <c:pt idx="59">
                  <c:v>Prueba 60</c:v>
                </c:pt>
                <c:pt idx="60">
                  <c:v>Prueba 61</c:v>
                </c:pt>
                <c:pt idx="61">
                  <c:v>Prueba 62</c:v>
                </c:pt>
                <c:pt idx="62">
                  <c:v>Prueba 63</c:v>
                </c:pt>
                <c:pt idx="63">
                  <c:v>Prueba 64</c:v>
                </c:pt>
                <c:pt idx="64">
                  <c:v>Prueba 65</c:v>
                </c:pt>
                <c:pt idx="65">
                  <c:v>Prueba 66</c:v>
                </c:pt>
                <c:pt idx="66">
                  <c:v>Prueba 67</c:v>
                </c:pt>
                <c:pt idx="67">
                  <c:v>Prueba 68</c:v>
                </c:pt>
                <c:pt idx="68">
                  <c:v>Prueba 69</c:v>
                </c:pt>
                <c:pt idx="69">
                  <c:v>Prueba 70</c:v>
                </c:pt>
                <c:pt idx="70">
                  <c:v>Prueba 71</c:v>
                </c:pt>
                <c:pt idx="71">
                  <c:v>Prueba 72</c:v>
                </c:pt>
                <c:pt idx="72">
                  <c:v>Prueba 73</c:v>
                </c:pt>
                <c:pt idx="73">
                  <c:v>Prueba 74</c:v>
                </c:pt>
                <c:pt idx="74">
                  <c:v>Prueba 75</c:v>
                </c:pt>
                <c:pt idx="75">
                  <c:v>Prueba 76</c:v>
                </c:pt>
                <c:pt idx="76">
                  <c:v>Prueba 77</c:v>
                </c:pt>
                <c:pt idx="77">
                  <c:v>Prueba 78</c:v>
                </c:pt>
                <c:pt idx="78">
                  <c:v>Prueba 79</c:v>
                </c:pt>
                <c:pt idx="79">
                  <c:v>Prueba 80</c:v>
                </c:pt>
                <c:pt idx="80">
                  <c:v>Prueba 81</c:v>
                </c:pt>
                <c:pt idx="81">
                  <c:v>Prueba 82</c:v>
                </c:pt>
                <c:pt idx="82">
                  <c:v>Prueba 83</c:v>
                </c:pt>
                <c:pt idx="83">
                  <c:v>Prueba 84</c:v>
                </c:pt>
                <c:pt idx="84">
                  <c:v>Prueba 85</c:v>
                </c:pt>
                <c:pt idx="85">
                  <c:v>Prueba 86</c:v>
                </c:pt>
                <c:pt idx="86">
                  <c:v>Prueba 87</c:v>
                </c:pt>
                <c:pt idx="87">
                  <c:v>Prueba 88</c:v>
                </c:pt>
                <c:pt idx="88">
                  <c:v>Prueba 89</c:v>
                </c:pt>
                <c:pt idx="89">
                  <c:v>Prueba 90</c:v>
                </c:pt>
                <c:pt idx="90">
                  <c:v>Prueba 91</c:v>
                </c:pt>
                <c:pt idx="91">
                  <c:v>Prueba 92</c:v>
                </c:pt>
                <c:pt idx="92">
                  <c:v>Prueba 93</c:v>
                </c:pt>
                <c:pt idx="93">
                  <c:v>Prueba 94</c:v>
                </c:pt>
                <c:pt idx="94">
                  <c:v>Prueba 95</c:v>
                </c:pt>
                <c:pt idx="95">
                  <c:v>Prueba 96</c:v>
                </c:pt>
                <c:pt idx="96">
                  <c:v>Prueba 97</c:v>
                </c:pt>
                <c:pt idx="97">
                  <c:v>Prueba 98</c:v>
                </c:pt>
                <c:pt idx="98">
                  <c:v>Prueba 99</c:v>
                </c:pt>
                <c:pt idx="99">
                  <c:v>Prueba 100</c:v>
                </c:pt>
              </c:strCache>
            </c:strRef>
          </c:cat>
          <c:val>
            <c:numRef>
              <c:f>Gráficas!$F$2:$F$101</c:f>
              <c:numCache>
                <c:formatCode>0.00%</c:formatCode>
                <c:ptCount val="10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  <c:pt idx="72">
                  <c:v>8.0402010050251146E-2</c:v>
                </c:pt>
                <c:pt idx="73">
                  <c:v>0.34673366834170855</c:v>
                </c:pt>
                <c:pt idx="74">
                  <c:v>0.29145728643216073</c:v>
                </c:pt>
                <c:pt idx="75">
                  <c:v>0.25125628140703515</c:v>
                </c:pt>
                <c:pt idx="76">
                  <c:v>0.22110552763819094</c:v>
                </c:pt>
                <c:pt idx="77">
                  <c:v>0.1909547738693467</c:v>
                </c:pt>
                <c:pt idx="78">
                  <c:v>0.35175879396984921</c:v>
                </c:pt>
                <c:pt idx="79">
                  <c:v>0.34673366834170855</c:v>
                </c:pt>
                <c:pt idx="80">
                  <c:v>0.23115577889447239</c:v>
                </c:pt>
                <c:pt idx="81">
                  <c:v>0.27135678391959794</c:v>
                </c:pt>
                <c:pt idx="82">
                  <c:v>0.15577889447236182</c:v>
                </c:pt>
                <c:pt idx="83">
                  <c:v>0.26633165829145727</c:v>
                </c:pt>
                <c:pt idx="84">
                  <c:v>0.35678391959798994</c:v>
                </c:pt>
                <c:pt idx="85">
                  <c:v>0.24120603015075373</c:v>
                </c:pt>
                <c:pt idx="86">
                  <c:v>0.25615763546798032</c:v>
                </c:pt>
                <c:pt idx="87">
                  <c:v>0.25615763546798032</c:v>
                </c:pt>
                <c:pt idx="88">
                  <c:v>6.4999999999999988E-2</c:v>
                </c:pt>
                <c:pt idx="89">
                  <c:v>0.24120603015075373</c:v>
                </c:pt>
                <c:pt idx="90">
                  <c:v>9.4999999999999987E-2</c:v>
                </c:pt>
                <c:pt idx="91">
                  <c:v>-3.6968576709796451E-3</c:v>
                </c:pt>
                <c:pt idx="92">
                  <c:v>0.24623115577889448</c:v>
                </c:pt>
                <c:pt idx="93">
                  <c:v>0.27981651376146782</c:v>
                </c:pt>
                <c:pt idx="94">
                  <c:v>0.24623115577889448</c:v>
                </c:pt>
                <c:pt idx="95">
                  <c:v>0</c:v>
                </c:pt>
                <c:pt idx="96">
                  <c:v>0</c:v>
                </c:pt>
                <c:pt idx="97">
                  <c:v>0.1959798994974874</c:v>
                </c:pt>
                <c:pt idx="98">
                  <c:v>6.5326633165829123E-2</c:v>
                </c:pt>
                <c:pt idx="99">
                  <c:v>0.24120603015075373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B5-4B32-89D4-849F4527A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0398159"/>
        <c:axId val="251596335"/>
      </c:barChart>
      <c:catAx>
        <c:axId val="300398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51596335"/>
        <c:crossesAt val="0"/>
        <c:auto val="1"/>
        <c:lblAlgn val="ctr"/>
        <c:lblOffset val="100"/>
        <c:tickLblSkip val="3"/>
        <c:noMultiLvlLbl val="0"/>
      </c:catAx>
      <c:valAx>
        <c:axId val="25159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0398159"/>
        <c:crossesAt val="1"/>
        <c:crossBetween val="between"/>
        <c:majorUnit val="0.1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414442</xdr:colOff>
      <xdr:row>26</xdr:row>
      <xdr:rowOff>95104</xdr:rowOff>
    </xdr:from>
    <xdr:to>
      <xdr:col>47</xdr:col>
      <xdr:colOff>409642</xdr:colOff>
      <xdr:row>46</xdr:row>
      <xdr:rowOff>109221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431453</xdr:colOff>
      <xdr:row>68</xdr:row>
      <xdr:rowOff>65249</xdr:rowOff>
    </xdr:from>
    <xdr:to>
      <xdr:col>47</xdr:col>
      <xdr:colOff>426653</xdr:colOff>
      <xdr:row>88</xdr:row>
      <xdr:rowOff>79366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424070</xdr:colOff>
      <xdr:row>47</xdr:row>
      <xdr:rowOff>64952</xdr:rowOff>
    </xdr:from>
    <xdr:to>
      <xdr:col>47</xdr:col>
      <xdr:colOff>419270</xdr:colOff>
      <xdr:row>67</xdr:row>
      <xdr:rowOff>79070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88847</xdr:colOff>
      <xdr:row>5</xdr:row>
      <xdr:rowOff>65063</xdr:rowOff>
    </xdr:from>
    <xdr:to>
      <xdr:col>20</xdr:col>
      <xdr:colOff>1211807</xdr:colOff>
      <xdr:row>25</xdr:row>
      <xdr:rowOff>79181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51655</xdr:colOff>
      <xdr:row>47</xdr:row>
      <xdr:rowOff>66441</xdr:rowOff>
    </xdr:from>
    <xdr:to>
      <xdr:col>20</xdr:col>
      <xdr:colOff>1174615</xdr:colOff>
      <xdr:row>67</xdr:row>
      <xdr:rowOff>80559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21</xdr:col>
      <xdr:colOff>144088</xdr:colOff>
      <xdr:row>5</xdr:row>
      <xdr:rowOff>53788</xdr:rowOff>
    </xdr:from>
    <xdr:to>
      <xdr:col>31</xdr:col>
      <xdr:colOff>31712</xdr:colOff>
      <xdr:row>25</xdr:row>
      <xdr:rowOff>67906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79655</xdr:colOff>
      <xdr:row>26</xdr:row>
      <xdr:rowOff>73904</xdr:rowOff>
    </xdr:from>
    <xdr:to>
      <xdr:col>20</xdr:col>
      <xdr:colOff>1191135</xdr:colOff>
      <xdr:row>46</xdr:row>
      <xdr:rowOff>88021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21</xdr:col>
      <xdr:colOff>151661</xdr:colOff>
      <xdr:row>47</xdr:row>
      <xdr:rowOff>73644</xdr:rowOff>
    </xdr:from>
    <xdr:to>
      <xdr:col>31</xdr:col>
      <xdr:colOff>56623</xdr:colOff>
      <xdr:row>68</xdr:row>
      <xdr:rowOff>36310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195052</xdr:colOff>
      <xdr:row>69</xdr:row>
      <xdr:rowOff>17725</xdr:rowOff>
    </xdr:from>
    <xdr:to>
      <xdr:col>31</xdr:col>
      <xdr:colOff>82676</xdr:colOff>
      <xdr:row>89</xdr:row>
      <xdr:rowOff>151196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320387</xdr:colOff>
      <xdr:row>90</xdr:row>
      <xdr:rowOff>135080</xdr:rowOff>
    </xdr:from>
    <xdr:to>
      <xdr:col>31</xdr:col>
      <xdr:colOff>208011</xdr:colOff>
      <xdr:row>110</xdr:row>
      <xdr:rowOff>149197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417443</xdr:colOff>
      <xdr:row>5</xdr:row>
      <xdr:rowOff>54427</xdr:rowOff>
    </xdr:from>
    <xdr:to>
      <xdr:col>47</xdr:col>
      <xdr:colOff>412643</xdr:colOff>
      <xdr:row>25</xdr:row>
      <xdr:rowOff>68545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21</xdr:col>
      <xdr:colOff>136446</xdr:colOff>
      <xdr:row>26</xdr:row>
      <xdr:rowOff>156104</xdr:rowOff>
    </xdr:from>
    <xdr:to>
      <xdr:col>31</xdr:col>
      <xdr:colOff>25215</xdr:colOff>
      <xdr:row>46</xdr:row>
      <xdr:rowOff>40525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6400CC4-737F-46A5-9BC7-C492F9D87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12</xdr:col>
      <xdr:colOff>121864</xdr:colOff>
      <xdr:row>68</xdr:row>
      <xdr:rowOff>160756</xdr:rowOff>
    </xdr:from>
    <xdr:to>
      <xdr:col>20</xdr:col>
      <xdr:colOff>1246902</xdr:colOff>
      <xdr:row>88</xdr:row>
      <xdr:rowOff>174874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68877807-7D20-4467-8DAA-FB3EBE8679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823048</xdr:colOff>
      <xdr:row>89</xdr:row>
      <xdr:rowOff>129885</xdr:rowOff>
    </xdr:from>
    <xdr:to>
      <xdr:col>20</xdr:col>
      <xdr:colOff>1180458</xdr:colOff>
      <xdr:row>109</xdr:row>
      <xdr:rowOff>127703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AF46DA92-0733-4091-A392-07AF2A774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228" tableType="queryTable" headerRowDxfId="47" dataDxfId="45" headerRowBorderDxfId="46">
  <autoFilter ref="A1:T228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4"/>
    <tableColumn id="2" xr3:uid="{8875E207-7656-4267-B823-C7E520343114}" uniqueName="2" name="from_edge" queryTableFieldId="2" dataDxfId="18" totalsRowDxfId="43"/>
    <tableColumn id="3" xr3:uid="{C1D71A6F-C15E-4E3F-B3E8-4E53F667AAA9}" uniqueName="3" name="to_edge" queryTableFieldId="3" dataDxfId="17" totalsRowDxfId="42"/>
    <tableColumn id="4" xr3:uid="{7C02CC50-B264-48BB-9ED1-F9CB62433332}" uniqueName="4" name="depart_time_s" queryTableFieldId="4" dataDxfId="16" totalsRowDxfId="41"/>
    <tableColumn id="5" xr3:uid="{84C4017E-49DC-4A74-9844-E02BA6A6256F}" uniqueName="5" name="arrival_time_s" queryTableFieldId="5" dataDxfId="15" totalsRowDxfId="40"/>
    <tableColumn id="6" xr3:uid="{64B822F0-2F2E-4BB3-89F9-68F1A5C0C73F}" uniqueName="6" name="travel_time_s" queryTableFieldId="6" dataDxfId="14" totalsRowDxfId="39"/>
    <tableColumn id="7" xr3:uid="{9C1D084C-698C-4580-91F5-ABABFD309737}" uniqueName="7" name="waiting_time_s" queryTableFieldId="7" dataDxfId="13" totalsRowDxfId="38"/>
    <tableColumn id="8" xr3:uid="{A447A697-7A38-49C3-B388-F9B02F5A7E70}" uniqueName="8" name="avg_speed_m_s" queryTableFieldId="8" dataDxfId="12" totalsRowDxfId="37"/>
    <tableColumn id="9" xr3:uid="{DEEF1CB2-D9D7-4554-82AB-9BF754A5D372}" uniqueName="9" name="distance_m" queryTableFieldId="9" dataDxfId="11" totalsRowDxfId="36"/>
    <tableColumn id="10" xr3:uid="{43F85DBF-84F2-44EF-A68D-87A60E932491}" uniqueName="10" name="tls_actions" queryTableFieldId="10" dataDxfId="10" totalsRowDxfId="35"/>
    <tableColumn id="11" xr3:uid="{9FA8088E-D2D4-42E8-ACE7-C9EC4341B6CE}" uniqueName="11" name="arrived" queryTableFieldId="11" dataDxfId="9" totalsRowDxfId="34"/>
    <tableColumn id="12" xr3:uid="{238E5578-7FB5-4297-90CC-B5EDBC46F60B}" uniqueName="12" name="traffic_data_time" queryTableFieldId="12" dataDxfId="8" totalsRowDxfId="33"/>
    <tableColumn id="13" xr3:uid="{8C55C22D-6A81-41B8-91C9-AECDEFA14C8F}" uniqueName="13" name="ESCENARIO" queryTableFieldId="13" dataDxfId="7" totalsRowDxfId="32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1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30">
      <calculatedColumnFormula>IF(H2="","",H2*3.6)</calculatedColumnFormula>
    </tableColumn>
    <tableColumn id="16" xr3:uid="{A4D647BD-3315-40AE-8879-9C4402C0E240}" uniqueName="16" name="distancia_km" queryTableFieldId="16" dataDxfId="4" totalsRowDxfId="29">
      <calculatedColumnFormula>IF(I2="","",I2/1000)</calculatedColumnFormula>
    </tableColumn>
    <tableColumn id="17" xr3:uid="{E57B02F2-42E6-46EA-B725-0039943C43E8}" uniqueName="17" name="tiempo_base_ref" queryTableFieldId="17" dataDxfId="3" totalsRowDxfId="28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7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6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5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225"/>
  <sheetViews>
    <sheetView topLeftCell="L207" zoomScale="88" zoomScaleNormal="130" workbookViewId="0">
      <selection activeCell="T48" sqref="T48"/>
    </sheetView>
  </sheetViews>
  <sheetFormatPr baseColWidth="10" defaultRowHeight="14.4" x14ac:dyDescent="0.3"/>
  <cols>
    <col min="1" max="1" width="9.6640625" bestFit="1" customWidth="1"/>
    <col min="2" max="2" width="12.77734375" bestFit="1" customWidth="1"/>
    <col min="3" max="3" width="10.44140625" bestFit="1" customWidth="1"/>
    <col min="4" max="4" width="15.88671875" bestFit="1" customWidth="1"/>
    <col min="5" max="5" width="15.6640625" bestFit="1" customWidth="1"/>
    <col min="6" max="6" width="15.109375" bestFit="1" customWidth="1"/>
    <col min="7" max="7" width="16.5546875" bestFit="1" customWidth="1"/>
    <col min="8" max="8" width="16.88671875" bestFit="1" customWidth="1"/>
    <col min="9" max="9" width="13.21875" bestFit="1" customWidth="1"/>
    <col min="10" max="10" width="12.6640625" bestFit="1" customWidth="1"/>
    <col min="11" max="11" width="11.33203125" bestFit="1" customWidth="1"/>
    <col min="12" max="12" width="18.44140625" bestFit="1" customWidth="1"/>
    <col min="13" max="13" width="46.5546875" bestFit="1" customWidth="1"/>
    <col min="14" max="14" width="19" bestFit="1" customWidth="1"/>
    <col min="15" max="15" width="24" bestFit="1" customWidth="1"/>
    <col min="16" max="16" width="14.77734375" bestFit="1" customWidth="1"/>
    <col min="17" max="17" width="17.88671875" style="5" bestFit="1" customWidth="1"/>
    <col min="18" max="18" width="19.33203125" bestFit="1" customWidth="1"/>
    <col min="19" max="19" width="21.77734375" style="8" bestFit="1" customWidth="1"/>
    <col min="20" max="20" width="17.777343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9" t="s">
        <v>12</v>
      </c>
      <c r="B2" s="9" t="s">
        <v>22</v>
      </c>
      <c r="C2" s="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9" t="str">
        <f t="shared" ref="M2:M65" si="0">B2&amp;" -&gt; "&amp;C2&amp;" | t="&amp;D2&amp;" | "&amp;TEXT(L2,"dd/mm/aaaa hh:mm")</f>
        <v>238829520 -&gt; 5989317 | t=250 | 24/05/2026 11:45</v>
      </c>
      <c r="N2" s="30" t="str">
        <f t="shared" ref="N2:N65" si="1">IF(F2="","",INT(F2/60)&amp;" min "&amp;TEXT(MOD(F2,60),"00")&amp;" s")</f>
        <v>3 min 56 s</v>
      </c>
      <c r="O2" s="11">
        <f t="shared" ref="O2:O65" si="2">IF(H2="","",H2*3.6)</f>
        <v>28.335600000000003</v>
      </c>
      <c r="P2" s="22">
        <f t="shared" ref="P2:P65" si="3">IF(I2="","",I2/1000)</f>
        <v>1.8497059999999999</v>
      </c>
      <c r="Q2" s="12">
        <f t="shared" ref="Q2:Q65" si="4">IFERROR(AVERAGEIFS($F:$F,$A:$A,"base",$B:$B,B2,$C:$C,C2,$D:$D,D2,$K:$K,TRUE,$L:$L,L2)/86400,"")</f>
        <v>2.7314814814814814E-3</v>
      </c>
      <c r="R2" s="30" t="str">
        <f t="shared" ref="R2:R65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65" si="6">IF(OR(A2&lt;&gt;"inteligente",K2&lt;&gt;TRUE,Q2=""),"",(Q2-F2/86400)/Q2)</f>
        <v/>
      </c>
      <c r="T2" s="30" t="str">
        <f t="shared" ref="T2:T65" si="7">IF(K2&lt;&gt;TRUE,"No llega",IF(A2="base","Referencia",IF(S2="","Sin referencia",IF(S2&gt;0,"Mejora",IF(S2&lt;0,"Empeora","Igual")))))</f>
        <v>Referencia</v>
      </c>
    </row>
    <row r="3" spans="1:20" x14ac:dyDescent="0.3">
      <c r="A3" s="9" t="s">
        <v>13</v>
      </c>
      <c r="B3" s="9" t="s">
        <v>22</v>
      </c>
      <c r="C3" s="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9" t="str">
        <f t="shared" si="0"/>
        <v>238829520 -&gt; 5989317 | t=250 | 24/05/2026 11:45</v>
      </c>
      <c r="N3" s="1" t="str">
        <f t="shared" si="1"/>
        <v>2 min 38 s</v>
      </c>
      <c r="O3" s="6">
        <f t="shared" si="2"/>
        <v>42.184800000000003</v>
      </c>
      <c r="P3" s="23">
        <f t="shared" si="3"/>
        <v>1.8396890000000001</v>
      </c>
      <c r="Q3" s="4">
        <f t="shared" si="4"/>
        <v>2.7314814814814814E-3</v>
      </c>
      <c r="R3" s="1" t="str">
        <f t="shared" si="5"/>
        <v>1 min 18 s</v>
      </c>
      <c r="S3" s="7">
        <f t="shared" si="6"/>
        <v>0.33050847457627119</v>
      </c>
      <c r="T3" s="1" t="str">
        <f t="shared" si="7"/>
        <v>Mejora</v>
      </c>
    </row>
    <row r="4" spans="1:20" x14ac:dyDescent="0.3">
      <c r="A4" s="9" t="s">
        <v>12</v>
      </c>
      <c r="B4" s="9" t="s">
        <v>22</v>
      </c>
      <c r="C4" s="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29" t="str">
        <f t="shared" si="0"/>
        <v>238829520 -&gt; 5989317 | t=250 | 24/05/2026 12:30</v>
      </c>
      <c r="N4" s="1" t="str">
        <f t="shared" si="1"/>
        <v>2 min 40 s</v>
      </c>
      <c r="O4" s="6">
        <f t="shared" si="2"/>
        <v>41.6556</v>
      </c>
      <c r="P4" s="23">
        <f t="shared" si="3"/>
        <v>1.83979</v>
      </c>
      <c r="Q4" s="4">
        <f t="shared" si="4"/>
        <v>1.8518518518518519E-3</v>
      </c>
      <c r="R4" s="1" t="str">
        <f t="shared" si="5"/>
        <v/>
      </c>
      <c r="S4" s="7" t="str">
        <f t="shared" si="6"/>
        <v/>
      </c>
      <c r="T4" s="1" t="str">
        <f t="shared" si="7"/>
        <v>Referencia</v>
      </c>
    </row>
    <row r="5" spans="1:20" x14ac:dyDescent="0.3">
      <c r="A5" s="9" t="s">
        <v>13</v>
      </c>
      <c r="B5" s="9" t="s">
        <v>22</v>
      </c>
      <c r="C5" s="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29" t="str">
        <f t="shared" si="0"/>
        <v>238829520 -&gt; 5989317 | t=250 | 24/05/2026 12:30</v>
      </c>
      <c r="N5" s="1" t="str">
        <f t="shared" si="1"/>
        <v>2 min 32 s</v>
      </c>
      <c r="O5" s="6">
        <f t="shared" si="2"/>
        <v>43.869599999999998</v>
      </c>
      <c r="P5" s="23">
        <f t="shared" si="3"/>
        <v>1.84002</v>
      </c>
      <c r="Q5" s="4">
        <f t="shared" si="4"/>
        <v>1.8518518518518519E-3</v>
      </c>
      <c r="R5" s="1" t="str">
        <f t="shared" si="5"/>
        <v>0 min 08 s</v>
      </c>
      <c r="S5" s="7">
        <f t="shared" si="6"/>
        <v>5.0000000000000044E-2</v>
      </c>
      <c r="T5" s="1" t="str">
        <f t="shared" si="7"/>
        <v>Mejora</v>
      </c>
    </row>
    <row r="6" spans="1:20" x14ac:dyDescent="0.3">
      <c r="A6" s="9" t="s">
        <v>13</v>
      </c>
      <c r="B6" s="9" t="s">
        <v>22</v>
      </c>
      <c r="C6" s="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29" t="str">
        <f t="shared" si="0"/>
        <v>238829520 -&gt; 5989317 | t=500 | 24/05/2026 12:30</v>
      </c>
      <c r="N6" s="1" t="str">
        <f t="shared" si="1"/>
        <v>8 min 18 s</v>
      </c>
      <c r="O6" s="6">
        <f t="shared" si="2"/>
        <v>13.363200000000001</v>
      </c>
      <c r="P6" s="23">
        <f t="shared" si="3"/>
        <v>1.8446559999999999</v>
      </c>
      <c r="Q6" s="4" t="str">
        <f t="shared" si="4"/>
        <v/>
      </c>
      <c r="R6" s="1" t="str">
        <f t="shared" si="5"/>
        <v/>
      </c>
      <c r="S6" s="7" t="str">
        <f t="shared" si="6"/>
        <v/>
      </c>
      <c r="T6" s="1" t="str">
        <f t="shared" si="7"/>
        <v>Sin referencia</v>
      </c>
    </row>
    <row r="7" spans="1:20" x14ac:dyDescent="0.3">
      <c r="A7" s="9" t="s">
        <v>13</v>
      </c>
      <c r="B7" s="9" t="s">
        <v>22</v>
      </c>
      <c r="C7" s="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29" t="str">
        <f t="shared" si="0"/>
        <v>238829520 -&gt; 5989317 | t=500 | 24/05/2026 12:30</v>
      </c>
      <c r="N7" s="1" t="str">
        <f t="shared" si="1"/>
        <v>8 min 18 s</v>
      </c>
      <c r="O7" s="6">
        <f t="shared" si="2"/>
        <v>13.363200000000001</v>
      </c>
      <c r="P7" s="23">
        <f t="shared" si="3"/>
        <v>1.8446559999999999</v>
      </c>
      <c r="Q7" s="4" t="str">
        <f t="shared" si="4"/>
        <v/>
      </c>
      <c r="R7" s="1" t="str">
        <f t="shared" si="5"/>
        <v/>
      </c>
      <c r="S7" s="7" t="str">
        <f t="shared" si="6"/>
        <v/>
      </c>
      <c r="T7" s="1" t="str">
        <f t="shared" si="7"/>
        <v>Sin referencia</v>
      </c>
    </row>
    <row r="8" spans="1:20" x14ac:dyDescent="0.3">
      <c r="A8" s="9" t="s">
        <v>12</v>
      </c>
      <c r="B8" s="9" t="s">
        <v>22</v>
      </c>
      <c r="C8" s="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29" t="str">
        <f t="shared" si="0"/>
        <v>238829520 -&gt; 5989317 | t=500 | 24/05/2026 12:40</v>
      </c>
      <c r="N8" s="1" t="str">
        <f t="shared" si="1"/>
        <v>10 min 15 s</v>
      </c>
      <c r="O8" s="6">
        <f t="shared" si="2"/>
        <v>10.814400000000001</v>
      </c>
      <c r="P8" s="23">
        <f t="shared" si="3"/>
        <v>1.8444240000000001</v>
      </c>
      <c r="Q8" s="4">
        <f t="shared" si="4"/>
        <v>7.1180555555555554E-3</v>
      </c>
      <c r="R8" s="1" t="str">
        <f t="shared" si="5"/>
        <v/>
      </c>
      <c r="S8" s="7" t="str">
        <f t="shared" si="6"/>
        <v/>
      </c>
      <c r="T8" s="1" t="str">
        <f t="shared" si="7"/>
        <v>Referencia</v>
      </c>
    </row>
    <row r="9" spans="1:20" x14ac:dyDescent="0.3">
      <c r="A9" s="9" t="s">
        <v>13</v>
      </c>
      <c r="B9" s="9" t="s">
        <v>22</v>
      </c>
      <c r="C9" s="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29" t="str">
        <f t="shared" si="0"/>
        <v>238829520 -&gt; 5989317 | t=500 | 24/05/2026 12:40</v>
      </c>
      <c r="N9" s="1" t="str">
        <f t="shared" si="1"/>
        <v>8 min 27 s</v>
      </c>
      <c r="O9" s="6">
        <f t="shared" si="2"/>
        <v>13.1256</v>
      </c>
      <c r="P9" s="23">
        <f t="shared" si="3"/>
        <v>1.8449749999999998</v>
      </c>
      <c r="Q9" s="4">
        <f t="shared" si="4"/>
        <v>7.1180555555555554E-3</v>
      </c>
      <c r="R9" s="1" t="str">
        <f t="shared" si="5"/>
        <v>1 min 48 s</v>
      </c>
      <c r="S9" s="7">
        <f t="shared" si="6"/>
        <v>0.17560975609756102</v>
      </c>
      <c r="T9" s="1" t="str">
        <f t="shared" si="7"/>
        <v>Mejora</v>
      </c>
    </row>
    <row r="10" spans="1:20" x14ac:dyDescent="0.3">
      <c r="A10" s="9" t="s">
        <v>12</v>
      </c>
      <c r="B10" s="9" t="s">
        <v>22</v>
      </c>
      <c r="C10" s="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29" t="str">
        <f t="shared" si="0"/>
        <v>238829520 -&gt; 5989317 | t=300 | 24/05/2026 12:45</v>
      </c>
      <c r="N10" s="1" t="str">
        <f t="shared" si="1"/>
        <v>4 min 37 s</v>
      </c>
      <c r="O10" s="6">
        <f t="shared" si="2"/>
        <v>24.109200000000001</v>
      </c>
      <c r="P10" s="23">
        <f t="shared" si="3"/>
        <v>1.848282</v>
      </c>
      <c r="Q10" s="4">
        <f t="shared" si="4"/>
        <v>3.2060185185185186E-3</v>
      </c>
      <c r="R10" s="1" t="str">
        <f t="shared" si="5"/>
        <v/>
      </c>
      <c r="S10" s="7" t="str">
        <f t="shared" si="6"/>
        <v/>
      </c>
      <c r="T10" s="1" t="str">
        <f t="shared" si="7"/>
        <v>Referencia</v>
      </c>
    </row>
    <row r="11" spans="1:20" x14ac:dyDescent="0.3">
      <c r="A11" s="9" t="s">
        <v>13</v>
      </c>
      <c r="B11" s="9" t="s">
        <v>22</v>
      </c>
      <c r="C11" s="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29" t="str">
        <f t="shared" si="0"/>
        <v>238829520 -&gt; 5989317 | t=300 | 24/05/2026 12:45</v>
      </c>
      <c r="N11" s="1" t="str">
        <f t="shared" si="1"/>
        <v>3 min 18 s</v>
      </c>
      <c r="O11" s="6">
        <f t="shared" si="2"/>
        <v>33.796799999999998</v>
      </c>
      <c r="P11" s="23">
        <f t="shared" si="3"/>
        <v>1.8493740000000001</v>
      </c>
      <c r="Q11" s="4">
        <f t="shared" si="4"/>
        <v>3.2060185185185186E-3</v>
      </c>
      <c r="R11" s="1" t="str">
        <f t="shared" si="5"/>
        <v>1 min 19 s</v>
      </c>
      <c r="S11" s="7">
        <f t="shared" si="6"/>
        <v>0.2851985559566787</v>
      </c>
      <c r="T11" s="1" t="str">
        <f t="shared" si="7"/>
        <v>Mejora</v>
      </c>
    </row>
    <row r="12" spans="1:20" x14ac:dyDescent="0.3">
      <c r="A12" s="9" t="s">
        <v>12</v>
      </c>
      <c r="B12" s="9" t="s">
        <v>22</v>
      </c>
      <c r="C12" s="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29" t="str">
        <f t="shared" si="0"/>
        <v>238829520 -&gt; 5989317 | t=250 | 24/05/2026 12:55</v>
      </c>
      <c r="N12" s="1" t="str">
        <f t="shared" si="1"/>
        <v>2 min 35 s</v>
      </c>
      <c r="O12" s="6">
        <f t="shared" si="2"/>
        <v>42.998400000000004</v>
      </c>
      <c r="P12" s="23">
        <f t="shared" si="3"/>
        <v>1.8394059999999999</v>
      </c>
      <c r="Q12" s="4">
        <f t="shared" si="4"/>
        <v>1.7939814814814815E-3</v>
      </c>
      <c r="R12" s="1" t="str">
        <f t="shared" si="5"/>
        <v/>
      </c>
      <c r="S12" s="7" t="str">
        <f t="shared" si="6"/>
        <v/>
      </c>
      <c r="T12" s="1" t="str">
        <f t="shared" si="7"/>
        <v>Referencia</v>
      </c>
    </row>
    <row r="13" spans="1:20" x14ac:dyDescent="0.3">
      <c r="A13" s="9" t="s">
        <v>13</v>
      </c>
      <c r="B13" s="9" t="s">
        <v>22</v>
      </c>
      <c r="C13" s="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29" t="str">
        <f t="shared" si="0"/>
        <v>238829520 -&gt; 5989317 | t=250 | 24/05/2026 12:55</v>
      </c>
      <c r="N13" s="1" t="str">
        <f t="shared" si="1"/>
        <v>2 min 23 s</v>
      </c>
      <c r="O13" s="6">
        <f t="shared" si="2"/>
        <v>46.897199999999998</v>
      </c>
      <c r="P13" s="23">
        <f t="shared" si="3"/>
        <v>1.8498939999999999</v>
      </c>
      <c r="Q13" s="4">
        <f t="shared" si="4"/>
        <v>1.7939814814814815E-3</v>
      </c>
      <c r="R13" s="1" t="str">
        <f t="shared" si="5"/>
        <v>0 min 12 s</v>
      </c>
      <c r="S13" s="7">
        <f t="shared" si="6"/>
        <v>7.7419354838709695E-2</v>
      </c>
      <c r="T13" s="1" t="str">
        <f t="shared" si="7"/>
        <v>Mejora</v>
      </c>
    </row>
    <row r="14" spans="1:20" x14ac:dyDescent="0.3">
      <c r="A14" s="9" t="s">
        <v>13</v>
      </c>
      <c r="B14" s="9" t="s">
        <v>22</v>
      </c>
      <c r="C14" s="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29" t="str">
        <f t="shared" si="0"/>
        <v>238829520 -&gt; 5989317 | t=500 | 24/05/2026 13:00</v>
      </c>
      <c r="N14" s="1" t="str">
        <f t="shared" si="1"/>
        <v>9 min 07 s</v>
      </c>
      <c r="O14" s="6">
        <f t="shared" si="2"/>
        <v>12.1752</v>
      </c>
      <c r="P14" s="23">
        <f t="shared" si="3"/>
        <v>1.846503</v>
      </c>
      <c r="Q14" s="4">
        <f t="shared" si="4"/>
        <v>6.6550925925925927E-3</v>
      </c>
      <c r="R14" s="1" t="str">
        <f t="shared" si="5"/>
        <v>0 min 28 s</v>
      </c>
      <c r="S14" s="7">
        <f t="shared" si="6"/>
        <v>4.8695652173913008E-2</v>
      </c>
      <c r="T14" s="1" t="str">
        <f t="shared" si="7"/>
        <v>Mejora</v>
      </c>
    </row>
    <row r="15" spans="1:20" x14ac:dyDescent="0.3">
      <c r="A15" s="9" t="s">
        <v>12</v>
      </c>
      <c r="B15" s="9" t="s">
        <v>22</v>
      </c>
      <c r="C15" s="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29" t="str">
        <f t="shared" si="0"/>
        <v>238829520 -&gt; 5989317 | t=500 | 24/05/2026 13:00</v>
      </c>
      <c r="N15" s="1" t="str">
        <f t="shared" si="1"/>
        <v>9 min 35 s</v>
      </c>
      <c r="O15" s="6">
        <f t="shared" si="2"/>
        <v>11.5776</v>
      </c>
      <c r="P15" s="23">
        <f t="shared" si="3"/>
        <v>1.845699</v>
      </c>
      <c r="Q15" s="4">
        <f t="shared" si="4"/>
        <v>6.6550925925925927E-3</v>
      </c>
      <c r="R15" s="1" t="str">
        <f t="shared" si="5"/>
        <v/>
      </c>
      <c r="S15" s="7" t="str">
        <f t="shared" si="6"/>
        <v/>
      </c>
      <c r="T15" s="1" t="str">
        <f t="shared" si="7"/>
        <v>Referencia</v>
      </c>
    </row>
    <row r="16" spans="1:20" x14ac:dyDescent="0.3">
      <c r="A16" s="9" t="s">
        <v>13</v>
      </c>
      <c r="B16" s="9" t="s">
        <v>22</v>
      </c>
      <c r="C16" s="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29" t="str">
        <f t="shared" si="0"/>
        <v>238829520 -&gt; 5989317 | t=250 | 24/05/2026 13:05</v>
      </c>
      <c r="N16" s="1" t="str">
        <f t="shared" si="1"/>
        <v>2 min 29 s</v>
      </c>
      <c r="O16" s="6">
        <f t="shared" si="2"/>
        <v>44.712000000000003</v>
      </c>
      <c r="P16" s="23">
        <f t="shared" si="3"/>
        <v>1.8382270000000001</v>
      </c>
      <c r="Q16" s="4">
        <f t="shared" si="4"/>
        <v>1.8865740740740742E-3</v>
      </c>
      <c r="R16" s="1" t="str">
        <f t="shared" si="5"/>
        <v>0 min 14 s</v>
      </c>
      <c r="S16" s="7">
        <f t="shared" si="6"/>
        <v>8.5889570552147285E-2</v>
      </c>
      <c r="T16" s="1" t="str">
        <f t="shared" si="7"/>
        <v>Mejora</v>
      </c>
    </row>
    <row r="17" spans="1:20" x14ac:dyDescent="0.3">
      <c r="A17" s="9" t="s">
        <v>12</v>
      </c>
      <c r="B17" s="9" t="s">
        <v>22</v>
      </c>
      <c r="C17" s="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29" t="str">
        <f t="shared" si="0"/>
        <v>238829520 -&gt; 5989317 | t=250 | 24/05/2026 13:05</v>
      </c>
      <c r="N17" s="1" t="str">
        <f t="shared" si="1"/>
        <v>2 min 43 s</v>
      </c>
      <c r="O17" s="6">
        <f t="shared" si="2"/>
        <v>41.072400000000002</v>
      </c>
      <c r="P17" s="23">
        <f t="shared" si="3"/>
        <v>1.8482499999999999</v>
      </c>
      <c r="Q17" s="4">
        <f t="shared" si="4"/>
        <v>1.8865740740740742E-3</v>
      </c>
      <c r="R17" s="1" t="str">
        <f t="shared" si="5"/>
        <v/>
      </c>
      <c r="S17" s="7" t="str">
        <f t="shared" si="6"/>
        <v/>
      </c>
      <c r="T17" s="1" t="str">
        <f t="shared" si="7"/>
        <v>Referencia</v>
      </c>
    </row>
    <row r="18" spans="1:20" x14ac:dyDescent="0.3">
      <c r="A18" s="9" t="s">
        <v>12</v>
      </c>
      <c r="B18" s="9" t="s">
        <v>22</v>
      </c>
      <c r="C18" s="9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29" t="str">
        <f t="shared" si="0"/>
        <v>238829520 -&gt; 5989317 | t=500 | 24/05/2026 13:05</v>
      </c>
      <c r="N18" s="1" t="str">
        <f t="shared" si="1"/>
        <v>8 min 46 s</v>
      </c>
      <c r="O18" s="6">
        <f t="shared" si="2"/>
        <v>12.646800000000001</v>
      </c>
      <c r="P18" s="23">
        <f t="shared" si="3"/>
        <v>1.844454</v>
      </c>
      <c r="Q18" s="4">
        <f t="shared" si="4"/>
        <v>6.0879629629629626E-3</v>
      </c>
      <c r="R18" s="1" t="str">
        <f t="shared" si="5"/>
        <v/>
      </c>
      <c r="S18" s="7" t="str">
        <f t="shared" si="6"/>
        <v/>
      </c>
      <c r="T18" s="1" t="str">
        <f t="shared" si="7"/>
        <v>Referencia</v>
      </c>
    </row>
    <row r="19" spans="1:20" x14ac:dyDescent="0.3">
      <c r="A19" s="9" t="s">
        <v>13</v>
      </c>
      <c r="B19" s="9" t="s">
        <v>22</v>
      </c>
      <c r="C19" s="9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29" t="str">
        <f t="shared" si="0"/>
        <v>238829520 -&gt; 5989317 | t=500 | 24/05/2026 13:05</v>
      </c>
      <c r="N19" s="1" t="str">
        <f t="shared" si="1"/>
        <v>8 min 42 s</v>
      </c>
      <c r="O19" s="6">
        <f t="shared" si="2"/>
        <v>12.7332</v>
      </c>
      <c r="P19" s="23">
        <f t="shared" si="3"/>
        <v>1.8429369999999998</v>
      </c>
      <c r="Q19" s="4">
        <f t="shared" si="4"/>
        <v>6.0879629629629626E-3</v>
      </c>
      <c r="R19" s="1" t="str">
        <f t="shared" si="5"/>
        <v>0 min 04 s</v>
      </c>
      <c r="S19" s="7">
        <f t="shared" si="6"/>
        <v>7.6045627376425404E-3</v>
      </c>
      <c r="T19" s="1" t="str">
        <f t="shared" si="7"/>
        <v>Mejora</v>
      </c>
    </row>
    <row r="20" spans="1:20" x14ac:dyDescent="0.3">
      <c r="A20" s="9" t="s">
        <v>12</v>
      </c>
      <c r="B20" s="9" t="s">
        <v>22</v>
      </c>
      <c r="C20" s="9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29" t="str">
        <f t="shared" si="0"/>
        <v>238829520 -&gt; 5989317 | t=3000 | 24/05/2026 13:15</v>
      </c>
      <c r="N20" s="1" t="str">
        <f t="shared" si="1"/>
        <v>7 min 30 s</v>
      </c>
      <c r="O20" s="6">
        <f t="shared" si="2"/>
        <v>14.7996</v>
      </c>
      <c r="P20" s="23">
        <f t="shared" si="3"/>
        <v>1.845942</v>
      </c>
      <c r="Q20" s="4">
        <f t="shared" si="4"/>
        <v>5.208333333333333E-3</v>
      </c>
      <c r="R20" s="1" t="str">
        <f t="shared" si="5"/>
        <v/>
      </c>
      <c r="S20" s="7" t="str">
        <f t="shared" si="6"/>
        <v/>
      </c>
      <c r="T20" s="1" t="str">
        <f t="shared" si="7"/>
        <v>Referencia</v>
      </c>
    </row>
    <row r="21" spans="1:20" x14ac:dyDescent="0.3">
      <c r="A21" s="9" t="s">
        <v>13</v>
      </c>
      <c r="B21" s="9" t="s">
        <v>22</v>
      </c>
      <c r="C21" s="9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29" t="str">
        <f t="shared" si="0"/>
        <v>238829520 -&gt; 5989317 | t=3000 | 24/05/2026 13:15</v>
      </c>
      <c r="N21" s="1" t="str">
        <f t="shared" si="1"/>
        <v>5 min 56 s</v>
      </c>
      <c r="O21" s="6">
        <f t="shared" si="2"/>
        <v>18.633600000000001</v>
      </c>
      <c r="P21" s="23">
        <f t="shared" si="3"/>
        <v>1.8373280000000001</v>
      </c>
      <c r="Q21" s="4">
        <f t="shared" si="4"/>
        <v>5.208333333333333E-3</v>
      </c>
      <c r="R21" s="1" t="str">
        <f t="shared" si="5"/>
        <v>1 min 34 s</v>
      </c>
      <c r="S21" s="7">
        <f t="shared" si="6"/>
        <v>0.20888888888888879</v>
      </c>
      <c r="T21" s="1" t="str">
        <f t="shared" si="7"/>
        <v>Mejora</v>
      </c>
    </row>
    <row r="22" spans="1:20" x14ac:dyDescent="0.3">
      <c r="A22" s="9" t="s">
        <v>12</v>
      </c>
      <c r="B22" s="9" t="s">
        <v>22</v>
      </c>
      <c r="C22" s="9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29" t="str">
        <f t="shared" si="0"/>
        <v>238829520 -&gt; 5989317 | t=3300 | 24/05/2026 13:20</v>
      </c>
      <c r="N22" s="1" t="str">
        <f t="shared" si="1"/>
        <v>5 min 00 s</v>
      </c>
      <c r="O22" s="6">
        <f t="shared" si="2"/>
        <v>8.2476000000000003</v>
      </c>
      <c r="P22" s="23">
        <f t="shared" si="3"/>
        <v>0.68495099999999998</v>
      </c>
      <c r="Q22" s="4" t="str">
        <f t="shared" si="4"/>
        <v/>
      </c>
      <c r="R22" s="1" t="str">
        <f t="shared" si="5"/>
        <v/>
      </c>
      <c r="S22" s="7" t="str">
        <f t="shared" si="6"/>
        <v/>
      </c>
      <c r="T22" s="1" t="str">
        <f t="shared" si="7"/>
        <v>No llega</v>
      </c>
    </row>
    <row r="23" spans="1:20" x14ac:dyDescent="0.3">
      <c r="A23" s="9" t="s">
        <v>13</v>
      </c>
      <c r="B23" s="9" t="s">
        <v>22</v>
      </c>
      <c r="C23" s="9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29" t="str">
        <f t="shared" si="0"/>
        <v>238829520 -&gt; 5989317 | t=3300 | 24/05/2026 13:25</v>
      </c>
      <c r="N23" s="1" t="str">
        <f t="shared" si="1"/>
        <v>3 min 54 s</v>
      </c>
      <c r="O23" s="6">
        <f t="shared" si="2"/>
        <v>28.4148</v>
      </c>
      <c r="P23" s="23">
        <f t="shared" si="3"/>
        <v>1.8390690000000001</v>
      </c>
      <c r="Q23" s="4" t="str">
        <f t="shared" si="4"/>
        <v/>
      </c>
      <c r="R23" s="1" t="str">
        <f t="shared" si="5"/>
        <v/>
      </c>
      <c r="S23" s="7" t="str">
        <f t="shared" si="6"/>
        <v/>
      </c>
      <c r="T23" s="1" t="str">
        <f t="shared" si="7"/>
        <v>Sin referencia</v>
      </c>
    </row>
    <row r="24" spans="1:20" x14ac:dyDescent="0.3">
      <c r="A24" s="9" t="s">
        <v>12</v>
      </c>
      <c r="B24" s="9" t="s">
        <v>22</v>
      </c>
      <c r="C24" s="9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29" t="str">
        <f t="shared" si="0"/>
        <v>238829520 -&gt; 5989317 | t=3450 | 24/05/2026 13:25</v>
      </c>
      <c r="N24" s="1" t="str">
        <f t="shared" si="1"/>
        <v>2 min 30 s</v>
      </c>
      <c r="O24" s="6">
        <f t="shared" si="2"/>
        <v>18.4284</v>
      </c>
      <c r="P24" s="23">
        <f t="shared" si="3"/>
        <v>0.76280300000000001</v>
      </c>
      <c r="Q24" s="4" t="str">
        <f t="shared" si="4"/>
        <v/>
      </c>
      <c r="R24" s="1" t="str">
        <f t="shared" si="5"/>
        <v/>
      </c>
      <c r="S24" s="7" t="str">
        <f t="shared" si="6"/>
        <v/>
      </c>
      <c r="T24" s="1" t="str">
        <f t="shared" si="7"/>
        <v>No llega</v>
      </c>
    </row>
    <row r="25" spans="1:20" x14ac:dyDescent="0.3">
      <c r="A25" s="9" t="s">
        <v>13</v>
      </c>
      <c r="B25" s="9" t="s">
        <v>22</v>
      </c>
      <c r="C25" s="9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29" t="str">
        <f t="shared" si="0"/>
        <v>238829520 -&gt; 5989317 | t=3450 | 24/05/2026 13:25</v>
      </c>
      <c r="N25" s="1" t="str">
        <f t="shared" si="1"/>
        <v>2 min 30 s</v>
      </c>
      <c r="O25" s="6">
        <f t="shared" si="2"/>
        <v>18.201599999999999</v>
      </c>
      <c r="P25" s="23">
        <f t="shared" si="3"/>
        <v>0.75339200000000006</v>
      </c>
      <c r="Q25" s="4" t="str">
        <f t="shared" si="4"/>
        <v/>
      </c>
      <c r="R25" s="1" t="str">
        <f t="shared" si="5"/>
        <v/>
      </c>
      <c r="S25" s="7" t="str">
        <f t="shared" si="6"/>
        <v/>
      </c>
      <c r="T25" s="1" t="str">
        <f t="shared" si="7"/>
        <v>No llega</v>
      </c>
    </row>
    <row r="26" spans="1:20" x14ac:dyDescent="0.3">
      <c r="A26" s="9" t="s">
        <v>12</v>
      </c>
      <c r="B26" s="9" t="s">
        <v>22</v>
      </c>
      <c r="C26" s="9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29" t="str">
        <f t="shared" si="0"/>
        <v>238829520 -&gt; 5989317 | t=250 | 24/05/2026 13:25</v>
      </c>
      <c r="N26" s="1" t="str">
        <f t="shared" si="1"/>
        <v>3 min 50 s</v>
      </c>
      <c r="O26" s="6">
        <f t="shared" si="2"/>
        <v>28.875600000000002</v>
      </c>
      <c r="P26" s="23">
        <f t="shared" si="3"/>
        <v>1.8367519999999999</v>
      </c>
      <c r="Q26" s="4">
        <f t="shared" si="4"/>
        <v>2.662037037037037E-3</v>
      </c>
      <c r="R26" s="1" t="str">
        <f t="shared" si="5"/>
        <v/>
      </c>
      <c r="S26" s="7" t="str">
        <f t="shared" si="6"/>
        <v/>
      </c>
      <c r="T26" s="1" t="str">
        <f t="shared" si="7"/>
        <v>Referencia</v>
      </c>
    </row>
    <row r="27" spans="1:20" x14ac:dyDescent="0.3">
      <c r="A27" s="9" t="s">
        <v>13</v>
      </c>
      <c r="B27" s="9" t="s">
        <v>22</v>
      </c>
      <c r="C27" s="9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29" t="str">
        <f t="shared" si="0"/>
        <v>238829520 -&gt; 5989317 | t=250 | 24/05/2026 13:25</v>
      </c>
      <c r="N27" s="1" t="str">
        <f t="shared" si="1"/>
        <v>2 min 38 s</v>
      </c>
      <c r="O27" s="6">
        <f t="shared" si="2"/>
        <v>42.156000000000006</v>
      </c>
      <c r="P27" s="23">
        <f t="shared" si="3"/>
        <v>1.8384390000000002</v>
      </c>
      <c r="Q27" s="4">
        <f t="shared" si="4"/>
        <v>2.662037037037037E-3</v>
      </c>
      <c r="R27" s="1" t="str">
        <f t="shared" si="5"/>
        <v>1 min 12 s</v>
      </c>
      <c r="S27" s="7">
        <f t="shared" si="6"/>
        <v>0.31304347826086953</v>
      </c>
      <c r="T27" s="1" t="str">
        <f t="shared" si="7"/>
        <v>Mejora</v>
      </c>
    </row>
    <row r="28" spans="1:20" x14ac:dyDescent="0.3">
      <c r="A28" s="9" t="s">
        <v>12</v>
      </c>
      <c r="B28" s="9" t="s">
        <v>22</v>
      </c>
      <c r="C28" s="9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29" t="str">
        <f t="shared" si="0"/>
        <v>238829520 -&gt; 5990070#1 | t=250 | 24/05/2026 13:30</v>
      </c>
      <c r="N28" s="1" t="str">
        <f t="shared" si="1"/>
        <v>2 min 59 s</v>
      </c>
      <c r="O28" s="6">
        <f t="shared" si="2"/>
        <v>30.466799999999999</v>
      </c>
      <c r="P28" s="23">
        <f t="shared" si="3"/>
        <v>1.5064580000000001</v>
      </c>
      <c r="Q28" s="4">
        <f t="shared" si="4"/>
        <v>2.0717592592592593E-3</v>
      </c>
      <c r="R28" s="1" t="str">
        <f t="shared" si="5"/>
        <v/>
      </c>
      <c r="S28" s="7" t="str">
        <f t="shared" si="6"/>
        <v/>
      </c>
      <c r="T28" s="1" t="str">
        <f t="shared" si="7"/>
        <v>Referencia</v>
      </c>
    </row>
    <row r="29" spans="1:20" x14ac:dyDescent="0.3">
      <c r="A29" s="9" t="s">
        <v>13</v>
      </c>
      <c r="B29" s="9" t="s">
        <v>22</v>
      </c>
      <c r="C29" s="9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29" t="str">
        <f t="shared" si="0"/>
        <v>238829520 -&gt; 5990070#1 | t=250 | 24/05/2026 13:30</v>
      </c>
      <c r="N29" s="1" t="str">
        <f t="shared" si="1"/>
        <v>2 min 06 s</v>
      </c>
      <c r="O29" s="6">
        <f t="shared" si="2"/>
        <v>43.513199999999998</v>
      </c>
      <c r="P29" s="23">
        <f t="shared" si="3"/>
        <v>1.5108379999999999</v>
      </c>
      <c r="Q29" s="4">
        <f t="shared" si="4"/>
        <v>2.0717592592592593E-3</v>
      </c>
      <c r="R29" s="1" t="str">
        <f t="shared" si="5"/>
        <v>0 min 53 s</v>
      </c>
      <c r="S29" s="7">
        <f t="shared" si="6"/>
        <v>0.2960893854748603</v>
      </c>
      <c r="T29" s="1" t="str">
        <f t="shared" si="7"/>
        <v>Mejora</v>
      </c>
    </row>
    <row r="30" spans="1:20" x14ac:dyDescent="0.3">
      <c r="A30" s="9" t="s">
        <v>12</v>
      </c>
      <c r="B30" s="9" t="s">
        <v>22</v>
      </c>
      <c r="C30" s="9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29" t="str">
        <f t="shared" si="0"/>
        <v>238829520 -&gt; 5990070#1 | t=1000 | 24/05/2026 13:35</v>
      </c>
      <c r="N30" s="1" t="str">
        <f t="shared" si="1"/>
        <v>5 min 25 s</v>
      </c>
      <c r="O30" s="6">
        <f t="shared" si="2"/>
        <v>16.732800000000001</v>
      </c>
      <c r="P30" s="23">
        <f t="shared" si="3"/>
        <v>1.505846</v>
      </c>
      <c r="Q30" s="4">
        <f t="shared" si="4"/>
        <v>3.7615740740740739E-3</v>
      </c>
      <c r="R30" s="1" t="str">
        <f t="shared" si="5"/>
        <v/>
      </c>
      <c r="S30" s="7" t="str">
        <f t="shared" si="6"/>
        <v/>
      </c>
      <c r="T30" s="1" t="str">
        <f t="shared" si="7"/>
        <v>Referencia</v>
      </c>
    </row>
    <row r="31" spans="1:20" x14ac:dyDescent="0.3">
      <c r="A31" s="9" t="s">
        <v>13</v>
      </c>
      <c r="B31" s="9" t="s">
        <v>22</v>
      </c>
      <c r="C31" s="9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29" t="str">
        <f t="shared" si="0"/>
        <v>238829520 -&gt; 5990070#1 | t=1000 | 24/05/2026 13:35</v>
      </c>
      <c r="N31" s="1" t="str">
        <f t="shared" si="1"/>
        <v>5 min 29 s</v>
      </c>
      <c r="O31" s="6">
        <f t="shared" si="2"/>
        <v>16.541999999999998</v>
      </c>
      <c r="P31" s="23">
        <f t="shared" si="3"/>
        <v>1.507204</v>
      </c>
      <c r="Q31" s="4">
        <f t="shared" si="4"/>
        <v>3.7615740740740739E-3</v>
      </c>
      <c r="R31" s="1" t="str">
        <f t="shared" si="5"/>
        <v>-0 min 04 s</v>
      </c>
      <c r="S31" s="7">
        <f t="shared" si="6"/>
        <v>-1.2307692307692349E-2</v>
      </c>
      <c r="T31" s="1" t="str">
        <f t="shared" si="7"/>
        <v>Empeora</v>
      </c>
    </row>
    <row r="32" spans="1:20" x14ac:dyDescent="0.3">
      <c r="A32" s="9" t="s">
        <v>12</v>
      </c>
      <c r="B32" s="9" t="s">
        <v>22</v>
      </c>
      <c r="C32" s="9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29" t="str">
        <f t="shared" si="0"/>
        <v>238829520 -&gt; 5990070#1 | t=2000 | 24/05/2026 13:35</v>
      </c>
      <c r="N32" s="1" t="str">
        <f t="shared" si="1"/>
        <v>6 min 06 s</v>
      </c>
      <c r="O32" s="6">
        <f t="shared" si="2"/>
        <v>14.860800000000001</v>
      </c>
      <c r="P32" s="23">
        <f t="shared" si="3"/>
        <v>1.5066649999999999</v>
      </c>
      <c r="Q32" s="4">
        <f t="shared" si="4"/>
        <v>4.2361111111111115E-3</v>
      </c>
      <c r="R32" s="1" t="str">
        <f t="shared" si="5"/>
        <v/>
      </c>
      <c r="S32" s="7" t="str">
        <f t="shared" si="6"/>
        <v/>
      </c>
      <c r="T32" s="1" t="str">
        <f t="shared" si="7"/>
        <v>Referencia</v>
      </c>
    </row>
    <row r="33" spans="1:23" x14ac:dyDescent="0.3">
      <c r="A33" s="9" t="s">
        <v>13</v>
      </c>
      <c r="B33" s="9" t="s">
        <v>22</v>
      </c>
      <c r="C33" s="9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29" t="str">
        <f t="shared" si="0"/>
        <v>238829520 -&gt; 5990070#1 | t=2000 | 24/05/2026 13:35</v>
      </c>
      <c r="N33" s="1" t="str">
        <f t="shared" si="1"/>
        <v>3 min 01 s</v>
      </c>
      <c r="O33" s="6">
        <f t="shared" si="2"/>
        <v>30.099600000000002</v>
      </c>
      <c r="P33" s="23">
        <f t="shared" si="3"/>
        <v>1.5049459999999999</v>
      </c>
      <c r="Q33" s="4">
        <f t="shared" si="4"/>
        <v>4.2361111111111115E-3</v>
      </c>
      <c r="R33" s="1" t="str">
        <f t="shared" si="5"/>
        <v>3 min 05 s</v>
      </c>
      <c r="S33" s="7">
        <f t="shared" si="6"/>
        <v>0.50546448087431706</v>
      </c>
      <c r="T33" s="1" t="str">
        <f t="shared" si="7"/>
        <v>Mejora</v>
      </c>
    </row>
    <row r="34" spans="1:23" x14ac:dyDescent="0.3">
      <c r="A34" s="9" t="s">
        <v>12</v>
      </c>
      <c r="B34" s="9" t="s">
        <v>22</v>
      </c>
      <c r="C34" s="9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29" t="str">
        <f t="shared" si="0"/>
        <v>238829520 -&gt; 5990070#1 | t=3000 | 24/05/2026 13:35</v>
      </c>
      <c r="N34" s="1" t="str">
        <f t="shared" si="1"/>
        <v>2 min 14 s</v>
      </c>
      <c r="O34" s="6">
        <f t="shared" si="2"/>
        <v>40.7988</v>
      </c>
      <c r="P34" s="23">
        <f t="shared" si="3"/>
        <v>1.507317</v>
      </c>
      <c r="Q34" s="4">
        <f t="shared" si="4"/>
        <v>1.5509259259259259E-3</v>
      </c>
      <c r="R34" s="1" t="str">
        <f t="shared" si="5"/>
        <v/>
      </c>
      <c r="S34" s="7" t="str">
        <f t="shared" si="6"/>
        <v/>
      </c>
      <c r="T34" s="1" t="str">
        <f t="shared" si="7"/>
        <v>Referencia</v>
      </c>
    </row>
    <row r="35" spans="1:23" x14ac:dyDescent="0.3">
      <c r="A35" s="9" t="s">
        <v>13</v>
      </c>
      <c r="B35" s="9" t="s">
        <v>22</v>
      </c>
      <c r="C35" s="9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29" t="str">
        <f t="shared" si="0"/>
        <v>238829520 -&gt; 5990070#1 | t=3000 | 24/05/2026 13:35</v>
      </c>
      <c r="N35" s="1" t="str">
        <f t="shared" si="1"/>
        <v>1 min 59 s</v>
      </c>
      <c r="O35" s="6">
        <f t="shared" si="2"/>
        <v>46.043999999999997</v>
      </c>
      <c r="P35" s="23">
        <f t="shared" si="3"/>
        <v>1.5092019999999999</v>
      </c>
      <c r="Q35" s="4">
        <f t="shared" si="4"/>
        <v>1.5509259259259259E-3</v>
      </c>
      <c r="R35" s="1" t="str">
        <f t="shared" si="5"/>
        <v>0 min 15 s</v>
      </c>
      <c r="S35" s="7">
        <f t="shared" si="6"/>
        <v>0.11194029850746272</v>
      </c>
      <c r="T35" s="1" t="str">
        <f t="shared" si="7"/>
        <v>Mejora</v>
      </c>
    </row>
    <row r="36" spans="1:23" x14ac:dyDescent="0.3">
      <c r="A36" s="9" t="s">
        <v>12</v>
      </c>
      <c r="B36" s="9" t="s">
        <v>22</v>
      </c>
      <c r="C36" s="9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29" t="str">
        <f t="shared" si="0"/>
        <v>238829520 -&gt; 5990070#1 | t=250 | 24/05/2026 18:25</v>
      </c>
      <c r="N36" s="1" t="str">
        <f t="shared" si="1"/>
        <v>3 min 00 s</v>
      </c>
      <c r="O36" s="6">
        <f t="shared" si="2"/>
        <v>30.312000000000001</v>
      </c>
      <c r="P36" s="23">
        <f t="shared" si="3"/>
        <v>1.507204</v>
      </c>
      <c r="Q36" s="4">
        <f t="shared" si="4"/>
        <v>2.0833333333333333E-3</v>
      </c>
      <c r="R36" s="1" t="str">
        <f t="shared" si="5"/>
        <v/>
      </c>
      <c r="S36" s="7" t="str">
        <f t="shared" si="6"/>
        <v/>
      </c>
      <c r="T36" s="1" t="str">
        <f t="shared" si="7"/>
        <v>Referencia</v>
      </c>
    </row>
    <row r="37" spans="1:23" x14ac:dyDescent="0.3">
      <c r="A37" s="9" t="s">
        <v>13</v>
      </c>
      <c r="B37" s="9" t="s">
        <v>22</v>
      </c>
      <c r="C37" s="9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29" t="str">
        <f t="shared" si="0"/>
        <v>238829520 -&gt; 5990070#1 | t=250 | 24/05/2026 18:25</v>
      </c>
      <c r="N37" s="1" t="str">
        <f t="shared" si="1"/>
        <v>1 min 59 s</v>
      </c>
      <c r="O37" s="6">
        <f t="shared" si="2"/>
        <v>45.972000000000001</v>
      </c>
      <c r="P37" s="23">
        <f t="shared" si="3"/>
        <v>1.506915</v>
      </c>
      <c r="Q37" s="4">
        <f t="shared" si="4"/>
        <v>2.0833333333333333E-3</v>
      </c>
      <c r="R37" s="1" t="str">
        <f t="shared" si="5"/>
        <v>1 min 01 s</v>
      </c>
      <c r="S37" s="7">
        <f t="shared" si="6"/>
        <v>0.33888888888888891</v>
      </c>
      <c r="T37" s="1" t="str">
        <f t="shared" si="7"/>
        <v>Mejora</v>
      </c>
    </row>
    <row r="38" spans="1:23" x14ac:dyDescent="0.3">
      <c r="A38" s="9" t="s">
        <v>12</v>
      </c>
      <c r="B38" s="9" t="s">
        <v>22</v>
      </c>
      <c r="C38" s="9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29" t="str">
        <f t="shared" si="0"/>
        <v>238829520 -&gt; 5990070#1 | t=1000 | 24/05/2026 18:30</v>
      </c>
      <c r="N38" s="1" t="str">
        <f t="shared" si="1"/>
        <v>8 min 55 s</v>
      </c>
      <c r="O38" s="6">
        <f t="shared" si="2"/>
        <v>10.1592</v>
      </c>
      <c r="P38" s="23">
        <f t="shared" si="3"/>
        <v>1.506702</v>
      </c>
      <c r="Q38" s="4">
        <f t="shared" si="4"/>
        <v>6.1921296296296299E-3</v>
      </c>
      <c r="R38" s="1" t="str">
        <f t="shared" si="5"/>
        <v/>
      </c>
      <c r="S38" s="7" t="str">
        <f t="shared" si="6"/>
        <v/>
      </c>
      <c r="T38" s="1" t="str">
        <f t="shared" si="7"/>
        <v>Referencia</v>
      </c>
    </row>
    <row r="39" spans="1:23" x14ac:dyDescent="0.3">
      <c r="A39" s="9" t="s">
        <v>13</v>
      </c>
      <c r="B39" s="9" t="s">
        <v>22</v>
      </c>
      <c r="C39" s="9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29" t="str">
        <f t="shared" si="0"/>
        <v>238829520 -&gt; 5990070#1 | t=1000 | 24/05/2026 18:30</v>
      </c>
      <c r="N39" s="1" t="str">
        <f t="shared" si="1"/>
        <v>11 min 45 s</v>
      </c>
      <c r="O39" s="6">
        <f t="shared" si="2"/>
        <v>7.7111999999999998</v>
      </c>
      <c r="P39" s="23">
        <f t="shared" si="3"/>
        <v>1.4947219999999999</v>
      </c>
      <c r="Q39" s="4">
        <f t="shared" si="4"/>
        <v>6.1921296296296299E-3</v>
      </c>
      <c r="R39" s="1" t="str">
        <f t="shared" si="5"/>
        <v>-2 min 50 s</v>
      </c>
      <c r="S39" s="7">
        <f t="shared" si="6"/>
        <v>-0.31775700934579443</v>
      </c>
      <c r="T39" s="1" t="str">
        <f t="shared" si="7"/>
        <v>Empeora</v>
      </c>
    </row>
    <row r="40" spans="1:23" x14ac:dyDescent="0.3">
      <c r="A40" s="9" t="s">
        <v>12</v>
      </c>
      <c r="B40" s="9" t="s">
        <v>22</v>
      </c>
      <c r="C40" s="9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29" t="str">
        <f t="shared" si="0"/>
        <v>238829520 -&gt; 5990070#1 | t=500 | 24/05/2026 18:30</v>
      </c>
      <c r="N40" s="1" t="str">
        <f t="shared" si="1"/>
        <v>3 min 19 s</v>
      </c>
      <c r="O40" s="6">
        <f t="shared" si="2"/>
        <v>27.392400000000002</v>
      </c>
      <c r="P40" s="23">
        <f t="shared" si="3"/>
        <v>1.5065329999999999</v>
      </c>
      <c r="Q40" s="4">
        <f t="shared" si="4"/>
        <v>2.3032407407407407E-3</v>
      </c>
      <c r="R40" s="1" t="str">
        <f t="shared" si="5"/>
        <v/>
      </c>
      <c r="S40" s="7" t="str">
        <f t="shared" si="6"/>
        <v/>
      </c>
      <c r="T40" s="1" t="str">
        <f t="shared" si="7"/>
        <v>Referencia</v>
      </c>
    </row>
    <row r="41" spans="1:23" x14ac:dyDescent="0.3">
      <c r="A41" s="9" t="s">
        <v>13</v>
      </c>
      <c r="B41" s="9" t="s">
        <v>22</v>
      </c>
      <c r="C41" s="9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29" t="str">
        <f t="shared" si="0"/>
        <v>238829520 -&gt; 5990070#1 | t=500 | 24/05/2026 18:30</v>
      </c>
      <c r="N41" s="1" t="str">
        <f t="shared" si="1"/>
        <v>2 min 03 s</v>
      </c>
      <c r="O41" s="6">
        <f t="shared" si="2"/>
        <v>44.517600000000002</v>
      </c>
      <c r="P41" s="23">
        <f t="shared" si="3"/>
        <v>1.5086630000000001</v>
      </c>
      <c r="Q41" s="4">
        <f t="shared" si="4"/>
        <v>2.3032407407407407E-3</v>
      </c>
      <c r="R41" s="1" t="str">
        <f t="shared" si="5"/>
        <v>1 min 16 s</v>
      </c>
      <c r="S41" s="7">
        <f t="shared" si="6"/>
        <v>0.3819095477386934</v>
      </c>
      <c r="T41" s="1" t="str">
        <f t="shared" si="7"/>
        <v>Mejora</v>
      </c>
    </row>
    <row r="42" spans="1:23" x14ac:dyDescent="0.3">
      <c r="A42" s="9" t="s">
        <v>12</v>
      </c>
      <c r="B42" s="9" t="s">
        <v>22</v>
      </c>
      <c r="C42" s="9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29" t="str">
        <f t="shared" si="0"/>
        <v>238829520 -&gt; 5990070#1 | t=500 | 24/05/2026 19:35</v>
      </c>
      <c r="N42" s="1" t="str">
        <f t="shared" si="1"/>
        <v>3 min 19 s</v>
      </c>
      <c r="O42" s="6">
        <f t="shared" si="2"/>
        <v>27.4176</v>
      </c>
      <c r="P42" s="23">
        <f t="shared" si="3"/>
        <v>1.508046</v>
      </c>
      <c r="Q42" s="4">
        <f t="shared" si="4"/>
        <v>2.3032407407407407E-3</v>
      </c>
      <c r="R42" s="1" t="str">
        <f t="shared" si="5"/>
        <v/>
      </c>
      <c r="S42" s="7" t="str">
        <f t="shared" si="6"/>
        <v/>
      </c>
      <c r="T42" s="1" t="str">
        <f t="shared" si="7"/>
        <v>Referencia</v>
      </c>
    </row>
    <row r="43" spans="1:23" x14ac:dyDescent="0.3">
      <c r="A43" s="9" t="s">
        <v>13</v>
      </c>
      <c r="B43" s="9" t="s">
        <v>22</v>
      </c>
      <c r="C43" s="9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29" t="str">
        <f t="shared" si="0"/>
        <v>238829520 -&gt; 5990070#1 | t=500 | 24/05/2026 19:40</v>
      </c>
      <c r="N43" s="1" t="str">
        <f t="shared" si="1"/>
        <v>2 min 13 s</v>
      </c>
      <c r="O43" s="6">
        <f t="shared" si="2"/>
        <v>40.831200000000003</v>
      </c>
      <c r="P43" s="23">
        <f t="shared" si="3"/>
        <v>1.4971859999999999</v>
      </c>
      <c r="Q43" s="4" t="str">
        <f t="shared" si="4"/>
        <v/>
      </c>
      <c r="R43" s="1" t="str">
        <f t="shared" si="5"/>
        <v/>
      </c>
      <c r="S43" s="7" t="str">
        <f t="shared" si="6"/>
        <v/>
      </c>
      <c r="T43" s="1" t="str">
        <f t="shared" si="7"/>
        <v>Sin referencia</v>
      </c>
    </row>
    <row r="44" spans="1:23" x14ac:dyDescent="0.3">
      <c r="A44" s="9" t="s">
        <v>12</v>
      </c>
      <c r="B44" s="9" t="s">
        <v>22</v>
      </c>
      <c r="C44" s="9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29" t="str">
        <f t="shared" si="0"/>
        <v>238829520 -&gt; 5990070#1 | t=1000 | 24/05/2026 20:10</v>
      </c>
      <c r="N44" s="1" t="str">
        <f t="shared" si="1"/>
        <v>6 min 30 s</v>
      </c>
      <c r="O44" s="6">
        <f t="shared" si="2"/>
        <v>13.9392</v>
      </c>
      <c r="P44" s="23">
        <f t="shared" si="3"/>
        <v>1.5063330000000001</v>
      </c>
      <c r="Q44" s="4">
        <f t="shared" si="4"/>
        <v>4.5138888888888885E-3</v>
      </c>
      <c r="R44" s="1" t="str">
        <f t="shared" si="5"/>
        <v/>
      </c>
      <c r="S44" s="7" t="str">
        <f t="shared" si="6"/>
        <v/>
      </c>
      <c r="T44" s="1" t="str">
        <f t="shared" si="7"/>
        <v>Referencia</v>
      </c>
    </row>
    <row r="45" spans="1:23" x14ac:dyDescent="0.3">
      <c r="A45" s="9" t="s">
        <v>13</v>
      </c>
      <c r="B45" s="9" t="s">
        <v>22</v>
      </c>
      <c r="C45" s="9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29" t="str">
        <f t="shared" si="0"/>
        <v>238829520 -&gt; 5990070#1 | t=1000 | 24/05/2026 20:10</v>
      </c>
      <c r="N45" s="1" t="str">
        <f t="shared" si="1"/>
        <v>6 min 28 s</v>
      </c>
      <c r="O45" s="6">
        <f t="shared" si="2"/>
        <v>14.022</v>
      </c>
      <c r="P45" s="23">
        <f t="shared" si="3"/>
        <v>1.5072110000000001</v>
      </c>
      <c r="Q45" s="4">
        <f t="shared" si="4"/>
        <v>4.5138888888888885E-3</v>
      </c>
      <c r="R45" s="1" t="str">
        <f t="shared" si="5"/>
        <v>0 min 02 s</v>
      </c>
      <c r="S45" s="7">
        <f t="shared" si="6"/>
        <v>5.1282051282050978E-3</v>
      </c>
      <c r="T45" s="1" t="str">
        <f t="shared" si="7"/>
        <v>Mejora</v>
      </c>
    </row>
    <row r="46" spans="1:23" x14ac:dyDescent="0.3">
      <c r="A46" s="9" t="s">
        <v>12</v>
      </c>
      <c r="B46" s="9" t="s">
        <v>22</v>
      </c>
      <c r="C46" s="9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29" t="str">
        <f t="shared" si="0"/>
        <v>238829520 -&gt; 5990070#1 | t=2000 | 24/05/2026 20:10</v>
      </c>
      <c r="N46" s="1" t="str">
        <f t="shared" si="1"/>
        <v>3 min 52 s</v>
      </c>
      <c r="O46" s="6">
        <f t="shared" si="2"/>
        <v>23.4756</v>
      </c>
      <c r="P46" s="23">
        <f t="shared" si="3"/>
        <v>1.506254</v>
      </c>
      <c r="Q46" s="4">
        <f t="shared" si="4"/>
        <v>2.685185185185185E-3</v>
      </c>
      <c r="R46" s="1" t="str">
        <f t="shared" si="5"/>
        <v/>
      </c>
      <c r="S46" s="7" t="str">
        <f t="shared" si="6"/>
        <v/>
      </c>
      <c r="T46" s="1" t="str">
        <f t="shared" si="7"/>
        <v>Referencia</v>
      </c>
    </row>
    <row r="47" spans="1:23" x14ac:dyDescent="0.3">
      <c r="A47" s="9" t="s">
        <v>13</v>
      </c>
      <c r="B47" s="9" t="s">
        <v>22</v>
      </c>
      <c r="C47" s="9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29" t="str">
        <f t="shared" si="0"/>
        <v>238829520 -&gt; 5990070#1 | t=2000 | 24/05/2026 20:10</v>
      </c>
      <c r="N47" s="1" t="str">
        <f t="shared" si="1"/>
        <v>2 min 36 s</v>
      </c>
      <c r="O47" s="6">
        <f t="shared" si="2"/>
        <v>34.992000000000004</v>
      </c>
      <c r="P47" s="23">
        <f t="shared" si="3"/>
        <v>1.506634</v>
      </c>
      <c r="Q47" s="4">
        <f t="shared" si="4"/>
        <v>2.685185185185185E-3</v>
      </c>
      <c r="R47" s="1" t="str">
        <f t="shared" si="5"/>
        <v>1 min 16 s</v>
      </c>
      <c r="S47" s="7">
        <f t="shared" si="6"/>
        <v>0.32758620689655171</v>
      </c>
      <c r="T47" s="1" t="str">
        <f t="shared" si="7"/>
        <v>Mejora</v>
      </c>
    </row>
    <row r="48" spans="1:23" x14ac:dyDescent="0.3">
      <c r="A48" s="9" t="s">
        <v>12</v>
      </c>
      <c r="B48" s="9" t="s">
        <v>22</v>
      </c>
      <c r="C48" s="9" t="s">
        <v>24</v>
      </c>
      <c r="D48" s="9">
        <v>500</v>
      </c>
      <c r="E48" s="9">
        <v>704</v>
      </c>
      <c r="F48" s="9">
        <v>204</v>
      </c>
      <c r="G48" s="9">
        <v>0</v>
      </c>
      <c r="H48" s="9">
        <v>7.415</v>
      </c>
      <c r="I48" s="9">
        <v>1505.2249999999999</v>
      </c>
      <c r="J48" s="9">
        <v>0</v>
      </c>
      <c r="K48" s="9" t="b">
        <v>1</v>
      </c>
      <c r="L48" s="10">
        <v>46167.364583333336</v>
      </c>
      <c r="M48" s="29" t="str">
        <f t="shared" si="0"/>
        <v>238829520 -&gt; 5990070#1 | t=500 | 25/05/2026 08:45</v>
      </c>
      <c r="N48" s="1" t="str">
        <f t="shared" si="1"/>
        <v>3 min 24 s</v>
      </c>
      <c r="O48" s="6">
        <f t="shared" si="2"/>
        <v>26.693999999999999</v>
      </c>
      <c r="P48" s="23">
        <f t="shared" si="3"/>
        <v>1.5052249999999998</v>
      </c>
      <c r="Q48" s="4">
        <f t="shared" si="4"/>
        <v>2.3611111111111111E-3</v>
      </c>
      <c r="R48" s="1" t="str">
        <f t="shared" si="5"/>
        <v/>
      </c>
      <c r="S48" s="7" t="str">
        <f t="shared" si="6"/>
        <v/>
      </c>
      <c r="T48" s="1" t="str">
        <f t="shared" si="7"/>
        <v>Referencia</v>
      </c>
      <c r="V48" s="25" t="s">
        <v>43</v>
      </c>
      <c r="W48" s="25" t="s">
        <v>42</v>
      </c>
    </row>
    <row r="49" spans="1:23" x14ac:dyDescent="0.3">
      <c r="A49" s="9" t="s">
        <v>13</v>
      </c>
      <c r="B49" s="9" t="s">
        <v>22</v>
      </c>
      <c r="C49" s="9" t="s">
        <v>24</v>
      </c>
      <c r="D49" s="9">
        <v>500</v>
      </c>
      <c r="E49" s="9">
        <v>633</v>
      </c>
      <c r="F49" s="9">
        <v>133</v>
      </c>
      <c r="G49" s="9">
        <v>0</v>
      </c>
      <c r="H49" s="9">
        <v>11.412000000000001</v>
      </c>
      <c r="I49" s="9">
        <v>1506.3879999999999</v>
      </c>
      <c r="J49" s="9">
        <v>1</v>
      </c>
      <c r="K49" s="9" t="b">
        <v>1</v>
      </c>
      <c r="L49" s="10">
        <v>46167.364583333336</v>
      </c>
      <c r="M49" s="29" t="str">
        <f t="shared" si="0"/>
        <v>238829520 -&gt; 5990070#1 | t=500 | 25/05/2026 08:45</v>
      </c>
      <c r="N49" s="1" t="str">
        <f t="shared" si="1"/>
        <v>2 min 13 s</v>
      </c>
      <c r="O49" s="6">
        <f t="shared" si="2"/>
        <v>41.083200000000005</v>
      </c>
      <c r="P49" s="23">
        <f t="shared" si="3"/>
        <v>1.5063879999999998</v>
      </c>
      <c r="Q49" s="4">
        <f t="shared" si="4"/>
        <v>2.3611111111111111E-3</v>
      </c>
      <c r="R49" s="1" t="str">
        <f t="shared" si="5"/>
        <v>1 min 11 s</v>
      </c>
      <c r="S49" s="7">
        <f t="shared" si="6"/>
        <v>0.34803921568627449</v>
      </c>
      <c r="T49" s="1" t="str">
        <f t="shared" si="7"/>
        <v>Mejora</v>
      </c>
      <c r="V49" s="25"/>
      <c r="W49" s="25"/>
    </row>
    <row r="50" spans="1:23" x14ac:dyDescent="0.3">
      <c r="A50" s="9" t="s">
        <v>12</v>
      </c>
      <c r="B50" s="9" t="s">
        <v>22</v>
      </c>
      <c r="C50" s="9" t="s">
        <v>24</v>
      </c>
      <c r="D50" s="9">
        <v>500</v>
      </c>
      <c r="E50" s="9">
        <v>704</v>
      </c>
      <c r="F50" s="9">
        <v>204</v>
      </c>
      <c r="G50" s="9">
        <v>0</v>
      </c>
      <c r="H50" s="9">
        <v>7.415</v>
      </c>
      <c r="I50" s="9">
        <v>1505.2819999999999</v>
      </c>
      <c r="J50" s="9">
        <v>0</v>
      </c>
      <c r="K50" s="9" t="b">
        <v>1</v>
      </c>
      <c r="L50" s="10">
        <v>46167.46875</v>
      </c>
      <c r="M50" s="29" t="str">
        <f t="shared" si="0"/>
        <v>238829520 -&gt; 5990070#1 | t=500 | 25/05/2026 11:15</v>
      </c>
      <c r="N50" s="1" t="str">
        <f t="shared" si="1"/>
        <v>3 min 24 s</v>
      </c>
      <c r="O50" s="6">
        <f t="shared" si="2"/>
        <v>26.693999999999999</v>
      </c>
      <c r="P50" s="23">
        <f t="shared" si="3"/>
        <v>1.505282</v>
      </c>
      <c r="Q50" s="4">
        <f t="shared" si="4"/>
        <v>2.3611111111111111E-3</v>
      </c>
      <c r="R50" s="1" t="str">
        <f t="shared" si="5"/>
        <v/>
      </c>
      <c r="S50" s="7" t="str">
        <f t="shared" si="6"/>
        <v/>
      </c>
      <c r="T50" s="1" t="str">
        <f t="shared" si="7"/>
        <v>Referencia</v>
      </c>
      <c r="V50" s="25"/>
      <c r="W50" s="25"/>
    </row>
    <row r="51" spans="1:23" x14ac:dyDescent="0.3">
      <c r="A51" s="9" t="s">
        <v>13</v>
      </c>
      <c r="B51" s="9" t="s">
        <v>22</v>
      </c>
      <c r="C51" s="9" t="s">
        <v>24</v>
      </c>
      <c r="D51" s="9">
        <v>500</v>
      </c>
      <c r="E51" s="9">
        <v>668</v>
      </c>
      <c r="F51" s="9">
        <v>168</v>
      </c>
      <c r="G51" s="9">
        <v>0</v>
      </c>
      <c r="H51" s="9">
        <v>9.02</v>
      </c>
      <c r="I51" s="9">
        <v>1506.279</v>
      </c>
      <c r="J51" s="9">
        <v>1</v>
      </c>
      <c r="K51" s="9" t="b">
        <v>1</v>
      </c>
      <c r="L51" s="10">
        <v>46167.46875</v>
      </c>
      <c r="M51" s="29" t="str">
        <f t="shared" si="0"/>
        <v>238829520 -&gt; 5990070#1 | t=500 | 25/05/2026 11:15</v>
      </c>
      <c r="N51" s="1" t="str">
        <f t="shared" si="1"/>
        <v>2 min 48 s</v>
      </c>
      <c r="O51" s="6">
        <f t="shared" si="2"/>
        <v>32.472000000000001</v>
      </c>
      <c r="P51" s="23">
        <f t="shared" si="3"/>
        <v>1.5062789999999999</v>
      </c>
      <c r="Q51" s="4">
        <f t="shared" si="4"/>
        <v>2.3611111111111111E-3</v>
      </c>
      <c r="R51" s="1" t="str">
        <f t="shared" si="5"/>
        <v>0 min 36 s</v>
      </c>
      <c r="S51" s="7">
        <f t="shared" si="6"/>
        <v>0.17647058823529416</v>
      </c>
      <c r="T51" s="1" t="str">
        <f t="shared" si="7"/>
        <v>Mejora</v>
      </c>
      <c r="V51" s="25"/>
      <c r="W51" s="25"/>
    </row>
    <row r="52" spans="1:23" x14ac:dyDescent="0.3">
      <c r="A52" s="9" t="s">
        <v>12</v>
      </c>
      <c r="B52" s="9" t="s">
        <v>22</v>
      </c>
      <c r="C52" s="9" t="s">
        <v>24</v>
      </c>
      <c r="D52" s="9">
        <v>500</v>
      </c>
      <c r="E52" s="9">
        <v>701</v>
      </c>
      <c r="F52" s="9">
        <v>201</v>
      </c>
      <c r="G52" s="9">
        <v>0</v>
      </c>
      <c r="H52" s="9">
        <v>7.5449999999999999</v>
      </c>
      <c r="I52" s="9">
        <v>1509.0619999999999</v>
      </c>
      <c r="J52" s="9">
        <v>0</v>
      </c>
      <c r="K52" s="9" t="b">
        <v>1</v>
      </c>
      <c r="L52" s="10">
        <v>46167.506944444445</v>
      </c>
      <c r="M52" s="29" t="str">
        <f t="shared" si="0"/>
        <v>238829520 -&gt; 5990070#1 | t=500 | 25/05/2026 12:10</v>
      </c>
      <c r="N52" s="1" t="str">
        <f t="shared" si="1"/>
        <v>3 min 21 s</v>
      </c>
      <c r="O52" s="6">
        <f t="shared" si="2"/>
        <v>27.161999999999999</v>
      </c>
      <c r="P52" s="23">
        <f t="shared" si="3"/>
        <v>1.5090619999999999</v>
      </c>
      <c r="Q52" s="4">
        <f t="shared" si="4"/>
        <v>2.3263888888888887E-3</v>
      </c>
      <c r="R52" s="1" t="str">
        <f t="shared" si="5"/>
        <v/>
      </c>
      <c r="S52" s="7" t="str">
        <f t="shared" si="6"/>
        <v/>
      </c>
      <c r="T52" s="1" t="str">
        <f t="shared" si="7"/>
        <v>Referencia</v>
      </c>
      <c r="V52" s="25"/>
      <c r="W52" s="25"/>
    </row>
    <row r="53" spans="1:23" x14ac:dyDescent="0.3">
      <c r="A53" s="9" t="s">
        <v>13</v>
      </c>
      <c r="B53" s="9" t="s">
        <v>22</v>
      </c>
      <c r="C53" s="9" t="s">
        <v>24</v>
      </c>
      <c r="D53" s="9">
        <v>500</v>
      </c>
      <c r="E53" s="9">
        <v>629</v>
      </c>
      <c r="F53" s="9">
        <v>129</v>
      </c>
      <c r="G53" s="9">
        <v>0</v>
      </c>
      <c r="H53" s="9">
        <v>11.784000000000001</v>
      </c>
      <c r="I53" s="9">
        <v>1508.3810000000001</v>
      </c>
      <c r="J53" s="9">
        <v>3</v>
      </c>
      <c r="K53" s="9" t="b">
        <v>1</v>
      </c>
      <c r="L53" s="10">
        <v>46167.506944444445</v>
      </c>
      <c r="M53" s="29" t="str">
        <f t="shared" si="0"/>
        <v>238829520 -&gt; 5990070#1 | t=500 | 25/05/2026 12:10</v>
      </c>
      <c r="N53" s="1" t="str">
        <f t="shared" si="1"/>
        <v>2 min 09 s</v>
      </c>
      <c r="O53" s="6">
        <f t="shared" si="2"/>
        <v>42.422400000000003</v>
      </c>
      <c r="P53" s="23">
        <f t="shared" si="3"/>
        <v>1.5083810000000002</v>
      </c>
      <c r="Q53" s="4">
        <f t="shared" si="4"/>
        <v>2.3263888888888887E-3</v>
      </c>
      <c r="R53" s="1" t="str">
        <f t="shared" si="5"/>
        <v>1 min 12 s</v>
      </c>
      <c r="S53" s="7">
        <f t="shared" si="6"/>
        <v>0.35820895522388052</v>
      </c>
      <c r="T53" s="1" t="str">
        <f t="shared" si="7"/>
        <v>Mejora</v>
      </c>
      <c r="V53" s="25"/>
      <c r="W53" s="25"/>
    </row>
    <row r="54" spans="1:23" x14ac:dyDescent="0.3">
      <c r="A54" s="9" t="s">
        <v>12</v>
      </c>
      <c r="B54" s="9" t="s">
        <v>22</v>
      </c>
      <c r="C54" s="9" t="s">
        <v>24</v>
      </c>
      <c r="D54" s="9">
        <v>500</v>
      </c>
      <c r="E54" s="9">
        <v>701</v>
      </c>
      <c r="F54" s="9">
        <v>201</v>
      </c>
      <c r="G54" s="9">
        <v>0</v>
      </c>
      <c r="H54" s="9">
        <v>7.55</v>
      </c>
      <c r="I54" s="9">
        <v>1510.069</v>
      </c>
      <c r="J54" s="9">
        <v>0</v>
      </c>
      <c r="K54" s="9" t="b">
        <v>1</v>
      </c>
      <c r="L54" s="10">
        <v>46167.541666666664</v>
      </c>
      <c r="M54" s="29" t="str">
        <f t="shared" si="0"/>
        <v>238829520 -&gt; 5990070#1 | t=500 | 25/05/2026 13:00</v>
      </c>
      <c r="N54" s="1" t="str">
        <f t="shared" si="1"/>
        <v>3 min 21 s</v>
      </c>
      <c r="O54" s="6">
        <f t="shared" si="2"/>
        <v>27.18</v>
      </c>
      <c r="P54" s="23">
        <f t="shared" si="3"/>
        <v>1.5100689999999999</v>
      </c>
      <c r="Q54" s="4">
        <f t="shared" si="4"/>
        <v>2.3263888888888887E-3</v>
      </c>
      <c r="R54" s="1" t="str">
        <f t="shared" si="5"/>
        <v/>
      </c>
      <c r="S54" s="7" t="str">
        <f t="shared" si="6"/>
        <v/>
      </c>
      <c r="T54" s="1" t="str">
        <f t="shared" si="7"/>
        <v>Referencia</v>
      </c>
      <c r="V54" s="25"/>
      <c r="W54" s="25"/>
    </row>
    <row r="55" spans="1:23" x14ac:dyDescent="0.3">
      <c r="A55" s="9" t="s">
        <v>13</v>
      </c>
      <c r="B55" s="9" t="s">
        <v>22</v>
      </c>
      <c r="C55" s="9" t="s">
        <v>24</v>
      </c>
      <c r="D55" s="9">
        <v>500</v>
      </c>
      <c r="E55" s="9">
        <v>645</v>
      </c>
      <c r="F55" s="9">
        <v>145</v>
      </c>
      <c r="G55" s="9">
        <v>0</v>
      </c>
      <c r="H55" s="9">
        <v>10.467000000000001</v>
      </c>
      <c r="I55" s="9">
        <v>1507.269</v>
      </c>
      <c r="J55" s="9">
        <v>2</v>
      </c>
      <c r="K55" s="9" t="b">
        <v>1</v>
      </c>
      <c r="L55" s="10">
        <v>46167.541666666664</v>
      </c>
      <c r="M55" s="29" t="str">
        <f t="shared" si="0"/>
        <v>238829520 -&gt; 5990070#1 | t=500 | 25/05/2026 13:00</v>
      </c>
      <c r="N55" s="1" t="str">
        <f t="shared" si="1"/>
        <v>2 min 25 s</v>
      </c>
      <c r="O55" s="6">
        <f t="shared" si="2"/>
        <v>37.681200000000004</v>
      </c>
      <c r="P55" s="23">
        <f t="shared" si="3"/>
        <v>1.507269</v>
      </c>
      <c r="Q55" s="4">
        <f t="shared" si="4"/>
        <v>2.3263888888888887E-3</v>
      </c>
      <c r="R55" s="1" t="str">
        <f t="shared" si="5"/>
        <v>0 min 56 s</v>
      </c>
      <c r="S55" s="7">
        <f t="shared" si="6"/>
        <v>0.27860696517412925</v>
      </c>
      <c r="T55" s="1" t="str">
        <f t="shared" si="7"/>
        <v>Mejora</v>
      </c>
      <c r="V55" s="25"/>
      <c r="W55" s="25"/>
    </row>
    <row r="56" spans="1:23" x14ac:dyDescent="0.3">
      <c r="A56" s="9" t="s">
        <v>12</v>
      </c>
      <c r="B56" s="9" t="s">
        <v>22</v>
      </c>
      <c r="C56" s="9" t="s">
        <v>24</v>
      </c>
      <c r="D56" s="9">
        <v>500</v>
      </c>
      <c r="E56" s="9">
        <v>705</v>
      </c>
      <c r="F56" s="9">
        <v>205</v>
      </c>
      <c r="G56" s="9">
        <v>0</v>
      </c>
      <c r="H56" s="9">
        <v>7.375</v>
      </c>
      <c r="I56" s="9">
        <v>1504.5219999999999</v>
      </c>
      <c r="J56" s="9">
        <v>0</v>
      </c>
      <c r="K56" s="9" t="b">
        <v>1</v>
      </c>
      <c r="L56" s="10">
        <v>46167.559027777781</v>
      </c>
      <c r="M56" s="29" t="str">
        <f t="shared" si="0"/>
        <v>238829520 -&gt; 5990070#1 | t=500 | 25/05/2026 13:25</v>
      </c>
      <c r="N56" s="1" t="str">
        <f t="shared" si="1"/>
        <v>3 min 25 s</v>
      </c>
      <c r="O56" s="6">
        <f t="shared" si="2"/>
        <v>26.55</v>
      </c>
      <c r="P56" s="23">
        <f t="shared" si="3"/>
        <v>1.5045219999999999</v>
      </c>
      <c r="Q56" s="4">
        <f t="shared" si="4"/>
        <v>2.3726851851851851E-3</v>
      </c>
      <c r="R56" s="1" t="str">
        <f t="shared" si="5"/>
        <v/>
      </c>
      <c r="S56" s="7" t="str">
        <f t="shared" si="6"/>
        <v/>
      </c>
      <c r="T56" s="1" t="str">
        <f t="shared" si="7"/>
        <v>Referencia</v>
      </c>
      <c r="V56" s="25"/>
      <c r="W56" s="25"/>
    </row>
    <row r="57" spans="1:23" x14ac:dyDescent="0.3">
      <c r="A57" s="9" t="s">
        <v>13</v>
      </c>
      <c r="B57" s="9" t="s">
        <v>22</v>
      </c>
      <c r="C57" s="9" t="s">
        <v>24</v>
      </c>
      <c r="D57" s="9">
        <v>500</v>
      </c>
      <c r="E57" s="9">
        <v>632</v>
      </c>
      <c r="F57" s="9">
        <v>132</v>
      </c>
      <c r="G57" s="9">
        <v>0</v>
      </c>
      <c r="H57" s="9">
        <v>11.454000000000001</v>
      </c>
      <c r="I57" s="9">
        <v>1500.5239999999999</v>
      </c>
      <c r="J57" s="9">
        <v>1</v>
      </c>
      <c r="K57" s="9" t="b">
        <v>1</v>
      </c>
      <c r="L57" s="10">
        <v>46167.559027777781</v>
      </c>
      <c r="M57" s="29" t="str">
        <f t="shared" si="0"/>
        <v>238829520 -&gt; 5990070#1 | t=500 | 25/05/2026 13:25</v>
      </c>
      <c r="N57" s="1" t="str">
        <f t="shared" si="1"/>
        <v>2 min 12 s</v>
      </c>
      <c r="O57" s="6">
        <f t="shared" si="2"/>
        <v>41.234400000000001</v>
      </c>
      <c r="P57" s="23">
        <f t="shared" si="3"/>
        <v>1.500524</v>
      </c>
      <c r="Q57" s="4">
        <f t="shared" si="4"/>
        <v>2.3726851851851851E-3</v>
      </c>
      <c r="R57" s="1" t="str">
        <f t="shared" si="5"/>
        <v>1 min 13 s</v>
      </c>
      <c r="S57" s="7">
        <f t="shared" si="6"/>
        <v>0.35609756097560968</v>
      </c>
      <c r="T57" s="1" t="str">
        <f t="shared" si="7"/>
        <v>Mejora</v>
      </c>
      <c r="V57" s="25"/>
      <c r="W57" s="25"/>
    </row>
    <row r="58" spans="1:23" x14ac:dyDescent="0.3">
      <c r="A58" s="9" t="s">
        <v>12</v>
      </c>
      <c r="B58" s="9" t="s">
        <v>22</v>
      </c>
      <c r="C58" s="9" t="s">
        <v>24</v>
      </c>
      <c r="D58" s="9">
        <v>500</v>
      </c>
      <c r="E58" s="9">
        <v>700</v>
      </c>
      <c r="F58" s="9">
        <v>200</v>
      </c>
      <c r="G58" s="9">
        <v>0</v>
      </c>
      <c r="H58" s="9">
        <v>7.5709999999999997</v>
      </c>
      <c r="I58" s="9">
        <v>1506.703</v>
      </c>
      <c r="J58" s="9">
        <v>0</v>
      </c>
      <c r="K58" s="9" t="b">
        <v>1</v>
      </c>
      <c r="L58" s="10">
        <v>46167.583333333336</v>
      </c>
      <c r="M58" s="29" t="str">
        <f t="shared" si="0"/>
        <v>238829520 -&gt; 5990070#1 | t=500 | 25/05/2026 14:00</v>
      </c>
      <c r="N58" s="1" t="str">
        <f t="shared" si="1"/>
        <v>3 min 20 s</v>
      </c>
      <c r="O58" s="6">
        <f t="shared" si="2"/>
        <v>27.255600000000001</v>
      </c>
      <c r="P58" s="23">
        <f t="shared" si="3"/>
        <v>1.5067029999999999</v>
      </c>
      <c r="Q58" s="4">
        <f t="shared" si="4"/>
        <v>2.3148148148148147E-3</v>
      </c>
      <c r="R58" s="1" t="str">
        <f t="shared" si="5"/>
        <v/>
      </c>
      <c r="S58" s="7" t="str">
        <f t="shared" si="6"/>
        <v/>
      </c>
      <c r="T58" s="1" t="str">
        <f t="shared" si="7"/>
        <v>Referencia</v>
      </c>
      <c r="V58" s="25"/>
      <c r="W58" s="25"/>
    </row>
    <row r="59" spans="1:23" x14ac:dyDescent="0.3">
      <c r="A59" s="9" t="s">
        <v>13</v>
      </c>
      <c r="B59" s="9" t="s">
        <v>22</v>
      </c>
      <c r="C59" s="9" t="s">
        <v>24</v>
      </c>
      <c r="D59" s="9">
        <v>500</v>
      </c>
      <c r="E59" s="9">
        <v>700</v>
      </c>
      <c r="F59" s="9">
        <v>200</v>
      </c>
      <c r="G59" s="9">
        <v>0</v>
      </c>
      <c r="H59" s="9">
        <v>9.6940000000000008</v>
      </c>
      <c r="I59" s="9">
        <v>1497.2080000000001</v>
      </c>
      <c r="J59" s="9">
        <v>0</v>
      </c>
      <c r="K59" s="9" t="b">
        <v>1</v>
      </c>
      <c r="L59" s="10">
        <v>46167.583333333336</v>
      </c>
      <c r="M59" s="29" t="str">
        <f t="shared" si="0"/>
        <v>238829520 -&gt; 5990070#1 | t=500 | 25/05/2026 14:00</v>
      </c>
      <c r="N59" s="1" t="str">
        <f t="shared" si="1"/>
        <v>3 min 20 s</v>
      </c>
      <c r="O59" s="6">
        <f t="shared" si="2"/>
        <v>34.898400000000002</v>
      </c>
      <c r="P59" s="23">
        <f t="shared" si="3"/>
        <v>1.4972080000000001</v>
      </c>
      <c r="Q59" s="4">
        <f t="shared" si="4"/>
        <v>2.3148148148148147E-3</v>
      </c>
      <c r="R59" s="1" t="str">
        <f t="shared" si="5"/>
        <v>0 min 00 s</v>
      </c>
      <c r="S59" s="7">
        <f t="shared" si="6"/>
        <v>0</v>
      </c>
      <c r="T59" s="1" t="str">
        <f t="shared" si="7"/>
        <v>Igual</v>
      </c>
      <c r="V59" s="25"/>
      <c r="W59" s="25"/>
    </row>
    <row r="60" spans="1:23" x14ac:dyDescent="0.3">
      <c r="A60" s="9" t="s">
        <v>12</v>
      </c>
      <c r="B60" s="9" t="s">
        <v>22</v>
      </c>
      <c r="C60" s="9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7.593</v>
      </c>
      <c r="I60" s="9">
        <v>1510.941</v>
      </c>
      <c r="J60" s="9">
        <v>0</v>
      </c>
      <c r="K60" s="9" t="b">
        <v>1</v>
      </c>
      <c r="L60" s="10">
        <v>46167.725694444445</v>
      </c>
      <c r="M60" s="29" t="str">
        <f t="shared" si="0"/>
        <v>238829520 -&gt; 5990070#1 | t=500 | 25/05/2026 17:25</v>
      </c>
      <c r="N60" s="1" t="str">
        <f t="shared" si="1"/>
        <v>3 min 20 s</v>
      </c>
      <c r="O60" s="6">
        <f t="shared" si="2"/>
        <v>27.334800000000001</v>
      </c>
      <c r="P60" s="23">
        <f t="shared" si="3"/>
        <v>1.5109410000000001</v>
      </c>
      <c r="Q60" s="4">
        <f t="shared" si="4"/>
        <v>2.3148148148148147E-3</v>
      </c>
      <c r="R60" s="1" t="str">
        <f t="shared" si="5"/>
        <v/>
      </c>
      <c r="S60" s="7" t="str">
        <f t="shared" si="6"/>
        <v/>
      </c>
      <c r="T60" s="1" t="str">
        <f t="shared" si="7"/>
        <v>Referencia</v>
      </c>
      <c r="V60" s="25"/>
      <c r="W60" s="25"/>
    </row>
    <row r="61" spans="1:23" x14ac:dyDescent="0.3">
      <c r="A61" s="9" t="s">
        <v>13</v>
      </c>
      <c r="B61" s="9" t="s">
        <v>22</v>
      </c>
      <c r="C61" s="9" t="s">
        <v>24</v>
      </c>
      <c r="D61" s="9">
        <v>500</v>
      </c>
      <c r="E61" s="9">
        <v>651</v>
      </c>
      <c r="F61" s="9">
        <v>151</v>
      </c>
      <c r="G61" s="9">
        <v>0</v>
      </c>
      <c r="H61" s="9">
        <v>10.052</v>
      </c>
      <c r="I61" s="9">
        <v>1507.8689999999999</v>
      </c>
      <c r="J61" s="9">
        <v>3</v>
      </c>
      <c r="K61" s="9" t="b">
        <v>1</v>
      </c>
      <c r="L61" s="10">
        <v>46167.725694444445</v>
      </c>
      <c r="M61" s="29" t="str">
        <f t="shared" si="0"/>
        <v>238829520 -&gt; 5990070#1 | t=500 | 25/05/2026 17:25</v>
      </c>
      <c r="N61" s="1" t="str">
        <f t="shared" si="1"/>
        <v>2 min 31 s</v>
      </c>
      <c r="O61" s="6">
        <f t="shared" si="2"/>
        <v>36.187199999999997</v>
      </c>
      <c r="P61" s="23">
        <f t="shared" si="3"/>
        <v>1.5078689999999999</v>
      </c>
      <c r="Q61" s="4">
        <f t="shared" si="4"/>
        <v>2.3148148148148147E-3</v>
      </c>
      <c r="R61" s="1" t="str">
        <f t="shared" si="5"/>
        <v>0 min 49 s</v>
      </c>
      <c r="S61" s="7">
        <f t="shared" si="6"/>
        <v>0.24499999999999994</v>
      </c>
      <c r="T61" s="1" t="str">
        <f t="shared" si="7"/>
        <v>Mejora</v>
      </c>
      <c r="V61" s="25"/>
      <c r="W61" s="25"/>
    </row>
    <row r="62" spans="1:23" x14ac:dyDescent="0.3">
      <c r="A62" s="9" t="s">
        <v>12</v>
      </c>
      <c r="B62" s="9" t="s">
        <v>22</v>
      </c>
      <c r="C62" s="9" t="s">
        <v>24</v>
      </c>
      <c r="D62" s="9">
        <v>500</v>
      </c>
      <c r="E62" s="9">
        <v>699</v>
      </c>
      <c r="F62" s="9">
        <v>199</v>
      </c>
      <c r="G62" s="9">
        <v>0</v>
      </c>
      <c r="H62" s="9">
        <v>7.6210000000000004</v>
      </c>
      <c r="I62" s="9">
        <v>1508.885</v>
      </c>
      <c r="J62" s="9">
        <v>0</v>
      </c>
      <c r="K62" s="9" t="b">
        <v>1</v>
      </c>
      <c r="L62" s="10">
        <v>46167.753472222219</v>
      </c>
      <c r="M62" s="29" t="str">
        <f t="shared" si="0"/>
        <v>238829520 -&gt; 5990070#1 | t=500 | 25/05/2026 18:05</v>
      </c>
      <c r="N62" s="1" t="str">
        <f t="shared" si="1"/>
        <v>3 min 19 s</v>
      </c>
      <c r="O62" s="6">
        <f t="shared" si="2"/>
        <v>27.435600000000001</v>
      </c>
      <c r="P62" s="23">
        <f t="shared" si="3"/>
        <v>1.508885</v>
      </c>
      <c r="Q62" s="4">
        <f t="shared" si="4"/>
        <v>2.3032407407407407E-3</v>
      </c>
      <c r="R62" s="1" t="str">
        <f t="shared" si="5"/>
        <v/>
      </c>
      <c r="S62" s="7" t="str">
        <f t="shared" si="6"/>
        <v/>
      </c>
      <c r="T62" s="1" t="str">
        <f t="shared" si="7"/>
        <v>Referencia</v>
      </c>
      <c r="V62" s="25"/>
      <c r="W62" s="25"/>
    </row>
    <row r="63" spans="1:23" x14ac:dyDescent="0.3">
      <c r="A63" s="9" t="s">
        <v>13</v>
      </c>
      <c r="B63" s="9" t="s">
        <v>22</v>
      </c>
      <c r="C63" s="9" t="s">
        <v>24</v>
      </c>
      <c r="D63" s="9">
        <v>500</v>
      </c>
      <c r="E63" s="9">
        <v>628</v>
      </c>
      <c r="F63" s="9">
        <v>128</v>
      </c>
      <c r="G63" s="9">
        <v>0</v>
      </c>
      <c r="H63" s="9">
        <v>11.885999999999999</v>
      </c>
      <c r="I63" s="9">
        <v>1509.575</v>
      </c>
      <c r="J63" s="9">
        <v>1</v>
      </c>
      <c r="K63" s="9" t="b">
        <v>1</v>
      </c>
      <c r="L63" s="10">
        <v>46167.753472222219</v>
      </c>
      <c r="M63" s="29" t="str">
        <f t="shared" si="0"/>
        <v>238829520 -&gt; 5990070#1 | t=500 | 25/05/2026 18:05</v>
      </c>
      <c r="N63" s="1" t="str">
        <f t="shared" si="1"/>
        <v>2 min 08 s</v>
      </c>
      <c r="O63" s="6">
        <f t="shared" si="2"/>
        <v>42.7896</v>
      </c>
      <c r="P63" s="23">
        <f t="shared" si="3"/>
        <v>1.5095750000000001</v>
      </c>
      <c r="Q63" s="4">
        <f t="shared" si="4"/>
        <v>2.3032407407407407E-3</v>
      </c>
      <c r="R63" s="1" t="str">
        <f t="shared" si="5"/>
        <v>1 min 11 s</v>
      </c>
      <c r="S63" s="7">
        <f t="shared" si="6"/>
        <v>0.35678391959798994</v>
      </c>
      <c r="T63" s="1" t="str">
        <f t="shared" si="7"/>
        <v>Mejora</v>
      </c>
      <c r="V63" s="25"/>
      <c r="W63" s="25"/>
    </row>
    <row r="64" spans="1:23" x14ac:dyDescent="0.3">
      <c r="A64" s="9" t="s">
        <v>12</v>
      </c>
      <c r="B64" s="9" t="s">
        <v>22</v>
      </c>
      <c r="C64" s="9" t="s">
        <v>24</v>
      </c>
      <c r="D64" s="9">
        <v>500</v>
      </c>
      <c r="E64" s="9">
        <v>720</v>
      </c>
      <c r="F64" s="9">
        <v>220</v>
      </c>
      <c r="G64" s="9">
        <v>0</v>
      </c>
      <c r="H64" s="9">
        <v>6.8680000000000003</v>
      </c>
      <c r="I64" s="9">
        <v>1504.0139999999999</v>
      </c>
      <c r="J64" s="9">
        <v>0</v>
      </c>
      <c r="K64" s="9" t="b">
        <v>1</v>
      </c>
      <c r="L64" s="10">
        <v>46167.760416666664</v>
      </c>
      <c r="M64" s="29" t="str">
        <f t="shared" si="0"/>
        <v>238829520 -&gt; 5990070#1 | t=500 | 25/05/2026 18:15</v>
      </c>
      <c r="N64" s="1" t="str">
        <f t="shared" si="1"/>
        <v>3 min 40 s</v>
      </c>
      <c r="O64" s="6">
        <f t="shared" si="2"/>
        <v>24.724800000000002</v>
      </c>
      <c r="P64" s="23">
        <f t="shared" si="3"/>
        <v>1.504014</v>
      </c>
      <c r="Q64" s="4">
        <f t="shared" si="4"/>
        <v>2.5462962962962965E-3</v>
      </c>
      <c r="R64" s="1" t="str">
        <f t="shared" si="5"/>
        <v/>
      </c>
      <c r="S64" s="7" t="str">
        <f t="shared" si="6"/>
        <v/>
      </c>
      <c r="T64" s="1" t="str">
        <f t="shared" si="7"/>
        <v>Referencia</v>
      </c>
      <c r="V64" s="25"/>
      <c r="W64" s="25"/>
    </row>
    <row r="65" spans="1:23" x14ac:dyDescent="0.3">
      <c r="A65" s="9" t="s">
        <v>13</v>
      </c>
      <c r="B65" s="9" t="s">
        <v>22</v>
      </c>
      <c r="C65" s="9" t="s">
        <v>24</v>
      </c>
      <c r="D65" s="9">
        <v>500</v>
      </c>
      <c r="E65" s="9">
        <v>630</v>
      </c>
      <c r="F65" s="9">
        <v>130</v>
      </c>
      <c r="G65" s="9">
        <v>0</v>
      </c>
      <c r="H65" s="9">
        <v>11.673</v>
      </c>
      <c r="I65" s="9">
        <v>1505.8430000000001</v>
      </c>
      <c r="J65" s="9">
        <v>1</v>
      </c>
      <c r="K65" s="9" t="b">
        <v>1</v>
      </c>
      <c r="L65" s="10">
        <v>46167.760416666664</v>
      </c>
      <c r="M65" s="29" t="str">
        <f t="shared" si="0"/>
        <v>238829520 -&gt; 5990070#1 | t=500 | 25/05/2026 18:15</v>
      </c>
      <c r="N65" s="1" t="str">
        <f t="shared" si="1"/>
        <v>2 min 10 s</v>
      </c>
      <c r="O65" s="6">
        <f t="shared" si="2"/>
        <v>42.022800000000004</v>
      </c>
      <c r="P65" s="23">
        <f t="shared" si="3"/>
        <v>1.505843</v>
      </c>
      <c r="Q65" s="4">
        <f t="shared" si="4"/>
        <v>2.5462962962962965E-3</v>
      </c>
      <c r="R65" s="1" t="str">
        <f t="shared" si="5"/>
        <v>1 min 30 s</v>
      </c>
      <c r="S65" s="7">
        <f t="shared" si="6"/>
        <v>0.40909090909090912</v>
      </c>
      <c r="T65" s="1" t="str">
        <f t="shared" si="7"/>
        <v>Mejora</v>
      </c>
      <c r="V65" s="25"/>
      <c r="W65" s="25"/>
    </row>
    <row r="66" spans="1:23" x14ac:dyDescent="0.3">
      <c r="A66" s="9" t="s">
        <v>12</v>
      </c>
      <c r="B66" s="9" t="s">
        <v>22</v>
      </c>
      <c r="C66" s="9" t="s">
        <v>24</v>
      </c>
      <c r="D66" s="9">
        <v>500</v>
      </c>
      <c r="E66" s="9">
        <v>700</v>
      </c>
      <c r="F66" s="9">
        <v>200</v>
      </c>
      <c r="G66" s="9">
        <v>0</v>
      </c>
      <c r="H66" s="9">
        <v>7.5449999999999999</v>
      </c>
      <c r="I66" s="9">
        <v>1501.4349999999999</v>
      </c>
      <c r="J66" s="9">
        <v>0</v>
      </c>
      <c r="K66" s="9" t="b">
        <v>1</v>
      </c>
      <c r="L66" s="10">
        <v>46167.763888888891</v>
      </c>
      <c r="M66" s="29" t="str">
        <f t="shared" ref="M66:M129" si="8">B66&amp;" -&gt; "&amp;C66&amp;" | t="&amp;D66&amp;" | "&amp;TEXT(L66,"dd/mm/aaaa hh:mm")</f>
        <v>238829520 -&gt; 5990070#1 | t=500 | 25/05/2026 18:20</v>
      </c>
      <c r="N66" s="1" t="str">
        <f t="shared" ref="N66:N129" si="9">IF(F66="","",INT(F66/60)&amp;" min "&amp;TEXT(MOD(F66,60),"00")&amp;" s")</f>
        <v>3 min 20 s</v>
      </c>
      <c r="O66" s="6">
        <f t="shared" ref="O66:O129" si="10">IF(H66="","",H66*3.6)</f>
        <v>27.161999999999999</v>
      </c>
      <c r="P66" s="23">
        <f t="shared" ref="P66:P129" si="11">IF(I66="","",I66/1000)</f>
        <v>1.5014349999999999</v>
      </c>
      <c r="Q66" s="4">
        <f t="shared" ref="Q66:Q129" si="12">IFERROR(AVERAGEIFS($F:$F,$A:$A,"base",$B:$B,B66,$C:$C,C66,$D:$D,D66,$K:$K,TRUE,$L:$L,L66)/86400,"")</f>
        <v>2.3148148148148147E-3</v>
      </c>
      <c r="R66" s="1" t="str">
        <f t="shared" ref="R66:R129" si="13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129" si="14">IF(OR(A66&lt;&gt;"inteligente",K66&lt;&gt;TRUE,Q66=""),"",(Q66-F66/86400)/Q66)</f>
        <v/>
      </c>
      <c r="T66" s="1" t="str">
        <f t="shared" ref="T66:T129" si="15">IF(K66&lt;&gt;TRUE,"No llega",IF(A66="base","Referencia",IF(S66="","Sin referencia",IF(S66&gt;0,"Mejora",IF(S66&lt;0,"Empeora","Igual")))))</f>
        <v>Referencia</v>
      </c>
      <c r="V66" s="25"/>
      <c r="W66" s="25"/>
    </row>
    <row r="67" spans="1:23" x14ac:dyDescent="0.3">
      <c r="A67" s="9" t="s">
        <v>13</v>
      </c>
      <c r="B67" s="9" t="s">
        <v>22</v>
      </c>
      <c r="C67" s="9" t="s">
        <v>24</v>
      </c>
      <c r="D67" s="9">
        <v>500</v>
      </c>
      <c r="E67" s="9">
        <v>630</v>
      </c>
      <c r="F67" s="9">
        <v>130</v>
      </c>
      <c r="G67" s="9">
        <v>0</v>
      </c>
      <c r="H67" s="9">
        <v>11.673</v>
      </c>
      <c r="I67" s="9">
        <v>1505.8430000000001</v>
      </c>
      <c r="J67" s="9">
        <v>1</v>
      </c>
      <c r="K67" s="9" t="b">
        <v>1</v>
      </c>
      <c r="L67" s="10">
        <v>46167.763888888891</v>
      </c>
      <c r="M67" s="29" t="str">
        <f t="shared" si="8"/>
        <v>238829520 -&gt; 5990070#1 | t=500 | 25/05/2026 18:20</v>
      </c>
      <c r="N67" s="1" t="str">
        <f t="shared" si="9"/>
        <v>2 min 10 s</v>
      </c>
      <c r="O67" s="6">
        <f t="shared" si="10"/>
        <v>42.022800000000004</v>
      </c>
      <c r="P67" s="23">
        <f t="shared" si="11"/>
        <v>1.505843</v>
      </c>
      <c r="Q67" s="4">
        <f t="shared" si="12"/>
        <v>2.3148148148148147E-3</v>
      </c>
      <c r="R67" s="1" t="str">
        <f t="shared" si="13"/>
        <v>1 min 10 s</v>
      </c>
      <c r="S67" s="7">
        <f t="shared" si="14"/>
        <v>0.35</v>
      </c>
      <c r="T67" s="1" t="str">
        <f t="shared" si="15"/>
        <v>Mejora</v>
      </c>
      <c r="V67" s="25"/>
      <c r="W67" s="25"/>
    </row>
    <row r="68" spans="1:23" x14ac:dyDescent="0.3">
      <c r="A68" s="9" t="s">
        <v>12</v>
      </c>
      <c r="B68" s="9" t="s">
        <v>22</v>
      </c>
      <c r="C68" s="9" t="s">
        <v>24</v>
      </c>
      <c r="D68" s="9">
        <v>500</v>
      </c>
      <c r="E68" s="9">
        <v>704</v>
      </c>
      <c r="F68" s="9">
        <v>204</v>
      </c>
      <c r="G68" s="9">
        <v>0</v>
      </c>
      <c r="H68" s="9">
        <v>7.4349999999999996</v>
      </c>
      <c r="I68" s="9">
        <v>1509.373</v>
      </c>
      <c r="J68" s="9">
        <v>0</v>
      </c>
      <c r="K68" s="9" t="b">
        <v>1</v>
      </c>
      <c r="L68" s="10">
        <v>46167.767361111109</v>
      </c>
      <c r="M68" s="29" t="str">
        <f t="shared" si="8"/>
        <v>238829520 -&gt; 5990070#1 | t=500 | 25/05/2026 18:25</v>
      </c>
      <c r="N68" s="1" t="str">
        <f t="shared" si="9"/>
        <v>3 min 24 s</v>
      </c>
      <c r="O68" s="6">
        <f t="shared" si="10"/>
        <v>26.765999999999998</v>
      </c>
      <c r="P68" s="23">
        <f t="shared" si="11"/>
        <v>1.5093730000000001</v>
      </c>
      <c r="Q68" s="4">
        <f t="shared" si="12"/>
        <v>2.3611111111111111E-3</v>
      </c>
      <c r="R68" s="1" t="str">
        <f t="shared" si="13"/>
        <v/>
      </c>
      <c r="S68" s="7" t="str">
        <f t="shared" si="14"/>
        <v/>
      </c>
      <c r="T68" s="1" t="str">
        <f t="shared" si="15"/>
        <v>Referencia</v>
      </c>
      <c r="V68" s="25"/>
      <c r="W68" s="25"/>
    </row>
    <row r="69" spans="1:23" x14ac:dyDescent="0.3">
      <c r="A69" s="9" t="s">
        <v>13</v>
      </c>
      <c r="B69" s="9" t="s">
        <v>22</v>
      </c>
      <c r="C69" s="9" t="s">
        <v>24</v>
      </c>
      <c r="D69" s="9">
        <v>500</v>
      </c>
      <c r="E69" s="9">
        <v>636</v>
      </c>
      <c r="F69" s="9">
        <v>136</v>
      </c>
      <c r="G69" s="9">
        <v>0</v>
      </c>
      <c r="H69" s="9">
        <v>11.185</v>
      </c>
      <c r="I69" s="9">
        <v>1509.9110000000001</v>
      </c>
      <c r="J69" s="9">
        <v>1</v>
      </c>
      <c r="K69" s="9" t="b">
        <v>1</v>
      </c>
      <c r="L69" s="10">
        <v>46167.767361111109</v>
      </c>
      <c r="M69" s="29" t="str">
        <f t="shared" si="8"/>
        <v>238829520 -&gt; 5990070#1 | t=500 | 25/05/2026 18:25</v>
      </c>
      <c r="N69" s="1" t="str">
        <f t="shared" si="9"/>
        <v>2 min 16 s</v>
      </c>
      <c r="O69" s="6">
        <f t="shared" si="10"/>
        <v>40.266000000000005</v>
      </c>
      <c r="P69" s="23">
        <f t="shared" si="11"/>
        <v>1.509911</v>
      </c>
      <c r="Q69" s="4">
        <f t="shared" si="12"/>
        <v>2.3611111111111111E-3</v>
      </c>
      <c r="R69" s="1" t="str">
        <f t="shared" si="13"/>
        <v>1 min 08 s</v>
      </c>
      <c r="S69" s="7">
        <f t="shared" si="14"/>
        <v>0.33333333333333331</v>
      </c>
      <c r="T69" s="1" t="str">
        <f t="shared" si="15"/>
        <v>Mejora</v>
      </c>
      <c r="V69" s="25"/>
      <c r="W69" s="25"/>
    </row>
    <row r="70" spans="1:23" x14ac:dyDescent="0.3">
      <c r="A70" s="9" t="s">
        <v>12</v>
      </c>
      <c r="B70" s="9" t="s">
        <v>22</v>
      </c>
      <c r="C70" s="9" t="s">
        <v>24</v>
      </c>
      <c r="D70" s="9">
        <v>500</v>
      </c>
      <c r="E70" s="9">
        <v>699</v>
      </c>
      <c r="F70" s="9">
        <v>199</v>
      </c>
      <c r="G70" s="9">
        <v>0</v>
      </c>
      <c r="H70" s="9">
        <v>7.6079999999999997</v>
      </c>
      <c r="I70" s="9">
        <v>1506.289</v>
      </c>
      <c r="J70" s="9">
        <v>0</v>
      </c>
      <c r="K70" s="9" t="b">
        <v>1</v>
      </c>
      <c r="L70" s="10">
        <v>46167.774305555555</v>
      </c>
      <c r="M70" s="29" t="str">
        <f t="shared" si="8"/>
        <v>238829520 -&gt; 5990070#1 | t=500 | 25/05/2026 18:35</v>
      </c>
      <c r="N70" s="1" t="str">
        <f t="shared" si="9"/>
        <v>3 min 19 s</v>
      </c>
      <c r="O70" s="6">
        <f t="shared" si="10"/>
        <v>27.3888</v>
      </c>
      <c r="P70" s="23">
        <f t="shared" si="11"/>
        <v>1.506289</v>
      </c>
      <c r="Q70" s="4">
        <f t="shared" si="12"/>
        <v>2.3032407407407407E-3</v>
      </c>
      <c r="R70" s="1" t="str">
        <f t="shared" si="13"/>
        <v/>
      </c>
      <c r="S70" s="7" t="str">
        <f t="shared" si="14"/>
        <v/>
      </c>
      <c r="T70" s="1" t="str">
        <f t="shared" si="15"/>
        <v>Referencia</v>
      </c>
      <c r="V70" s="25"/>
      <c r="W70" s="25"/>
    </row>
    <row r="71" spans="1:23" x14ac:dyDescent="0.3">
      <c r="A71" s="9" t="s">
        <v>13</v>
      </c>
      <c r="B71" s="9" t="s">
        <v>22</v>
      </c>
      <c r="C71" s="9" t="s">
        <v>24</v>
      </c>
      <c r="D71" s="9">
        <v>500</v>
      </c>
      <c r="E71" s="9">
        <v>624</v>
      </c>
      <c r="F71" s="9">
        <v>124</v>
      </c>
      <c r="G71" s="9">
        <v>0</v>
      </c>
      <c r="H71" s="9">
        <v>12.257</v>
      </c>
      <c r="I71" s="9">
        <v>1507.634</v>
      </c>
      <c r="J71" s="9">
        <v>3</v>
      </c>
      <c r="K71" s="9" t="b">
        <v>1</v>
      </c>
      <c r="L71" s="10">
        <v>46167.774305555555</v>
      </c>
      <c r="M71" s="29" t="str">
        <f t="shared" si="8"/>
        <v>238829520 -&gt; 5990070#1 | t=500 | 25/05/2026 18:35</v>
      </c>
      <c r="N71" s="1" t="str">
        <f t="shared" si="9"/>
        <v>2 min 04 s</v>
      </c>
      <c r="O71" s="6">
        <f t="shared" si="10"/>
        <v>44.1252</v>
      </c>
      <c r="P71" s="23">
        <f t="shared" si="11"/>
        <v>1.5076339999999999</v>
      </c>
      <c r="Q71" s="4">
        <f t="shared" si="12"/>
        <v>2.3032407407407407E-3</v>
      </c>
      <c r="R71" s="1" t="str">
        <f t="shared" si="13"/>
        <v>1 min 15 s</v>
      </c>
      <c r="S71" s="7">
        <f t="shared" si="14"/>
        <v>0.37688442211055273</v>
      </c>
      <c r="T71" s="1" t="str">
        <f t="shared" si="15"/>
        <v>Mejora</v>
      </c>
      <c r="V71" s="25"/>
      <c r="W71" s="25"/>
    </row>
    <row r="72" spans="1:23" x14ac:dyDescent="0.3">
      <c r="A72" s="9" t="s">
        <v>12</v>
      </c>
      <c r="B72" s="9" t="s">
        <v>22</v>
      </c>
      <c r="C72" s="9" t="s">
        <v>24</v>
      </c>
      <c r="D72" s="9">
        <v>500</v>
      </c>
      <c r="E72" s="9">
        <v>700</v>
      </c>
      <c r="F72" s="9">
        <v>200</v>
      </c>
      <c r="G72" s="9">
        <v>0</v>
      </c>
      <c r="H72" s="9">
        <v>7.593</v>
      </c>
      <c r="I72" s="9">
        <v>1510.981</v>
      </c>
      <c r="J72" s="9">
        <v>0</v>
      </c>
      <c r="K72" s="9" t="b">
        <v>1</v>
      </c>
      <c r="L72" s="10">
        <v>46167.827777777777</v>
      </c>
      <c r="M72" s="29" t="str">
        <f t="shared" si="8"/>
        <v>238829520 -&gt; 5990070#1 | t=500 | 25/05/2026 19:52</v>
      </c>
      <c r="N72" s="1" t="str">
        <f t="shared" si="9"/>
        <v>3 min 20 s</v>
      </c>
      <c r="O72" s="6">
        <f t="shared" si="10"/>
        <v>27.334800000000001</v>
      </c>
      <c r="P72" s="23">
        <f t="shared" si="11"/>
        <v>1.5109809999999999</v>
      </c>
      <c r="Q72" s="4">
        <f t="shared" si="12"/>
        <v>2.3148148148148147E-3</v>
      </c>
      <c r="R72" s="1" t="str">
        <f t="shared" si="13"/>
        <v/>
      </c>
      <c r="S72" s="7" t="str">
        <f t="shared" si="14"/>
        <v/>
      </c>
      <c r="T72" s="1" t="str">
        <f t="shared" si="15"/>
        <v>Referencia</v>
      </c>
      <c r="V72" s="25"/>
      <c r="W72" s="25"/>
    </row>
    <row r="73" spans="1:23" x14ac:dyDescent="0.3">
      <c r="A73" s="9" t="s">
        <v>13</v>
      </c>
      <c r="B73" s="9" t="s">
        <v>22</v>
      </c>
      <c r="C73" s="9" t="s">
        <v>24</v>
      </c>
      <c r="D73" s="9">
        <v>500</v>
      </c>
      <c r="E73" s="9">
        <v>664</v>
      </c>
      <c r="F73" s="9">
        <v>164</v>
      </c>
      <c r="G73" s="9">
        <v>0</v>
      </c>
      <c r="H73" s="9">
        <v>9.2390000000000008</v>
      </c>
      <c r="I73" s="9">
        <v>1505.9690000000001</v>
      </c>
      <c r="J73" s="9">
        <v>5</v>
      </c>
      <c r="K73" s="9" t="b">
        <v>1</v>
      </c>
      <c r="L73" s="10">
        <v>46167.827777777777</v>
      </c>
      <c r="M73" s="29" t="str">
        <f t="shared" si="8"/>
        <v>238829520 -&gt; 5990070#1 | t=500 | 25/05/2026 19:52</v>
      </c>
      <c r="N73" s="1" t="str">
        <f t="shared" si="9"/>
        <v>2 min 44 s</v>
      </c>
      <c r="O73" s="6">
        <f t="shared" si="10"/>
        <v>33.260400000000004</v>
      </c>
      <c r="P73" s="23">
        <f t="shared" si="11"/>
        <v>1.5059690000000001</v>
      </c>
      <c r="Q73" s="4">
        <f t="shared" si="12"/>
        <v>2.3148148148148147E-3</v>
      </c>
      <c r="R73" s="1" t="str">
        <f t="shared" si="13"/>
        <v>0 min 36 s</v>
      </c>
      <c r="S73" s="7">
        <f t="shared" si="14"/>
        <v>0.17999999999999994</v>
      </c>
      <c r="T73" s="1" t="str">
        <f t="shared" si="15"/>
        <v>Mejora</v>
      </c>
      <c r="V73" s="25"/>
      <c r="W73" s="25"/>
    </row>
    <row r="74" spans="1:23" x14ac:dyDescent="0.3">
      <c r="A74" s="9" t="s">
        <v>12</v>
      </c>
      <c r="B74" s="9" t="s">
        <v>22</v>
      </c>
      <c r="C74" s="9" t="s">
        <v>24</v>
      </c>
      <c r="D74" s="9">
        <v>500</v>
      </c>
      <c r="E74" s="9">
        <v>699</v>
      </c>
      <c r="F74" s="9">
        <v>199</v>
      </c>
      <c r="G74" s="9">
        <v>0</v>
      </c>
      <c r="H74" s="9">
        <v>7.6120000000000001</v>
      </c>
      <c r="I74" s="9">
        <v>1507.2270000000001</v>
      </c>
      <c r="J74" s="9">
        <v>0</v>
      </c>
      <c r="K74" s="9" t="b">
        <v>1</v>
      </c>
      <c r="L74" s="10">
        <v>46167.836805555555</v>
      </c>
      <c r="M74" s="29" t="str">
        <f t="shared" si="8"/>
        <v>238829520 -&gt; 5990070#1 | t=500 | 25/05/2026 20:05</v>
      </c>
      <c r="N74" s="1" t="str">
        <f t="shared" si="9"/>
        <v>3 min 19 s</v>
      </c>
      <c r="O74" s="6">
        <f t="shared" si="10"/>
        <v>27.403200000000002</v>
      </c>
      <c r="P74" s="23">
        <f t="shared" si="11"/>
        <v>1.5072270000000001</v>
      </c>
      <c r="Q74" s="4">
        <f t="shared" si="12"/>
        <v>2.3032407407407407E-3</v>
      </c>
      <c r="R74" s="1" t="str">
        <f t="shared" si="13"/>
        <v/>
      </c>
      <c r="S74" s="7" t="str">
        <f t="shared" si="14"/>
        <v/>
      </c>
      <c r="T74" s="1" t="str">
        <f t="shared" si="15"/>
        <v>Referencia</v>
      </c>
      <c r="V74" s="25"/>
      <c r="W74" s="25"/>
    </row>
    <row r="75" spans="1:23" x14ac:dyDescent="0.3">
      <c r="A75" s="9" t="s">
        <v>13</v>
      </c>
      <c r="B75" s="9" t="s">
        <v>22</v>
      </c>
      <c r="C75" s="9" t="s">
        <v>24</v>
      </c>
      <c r="D75" s="9">
        <v>500</v>
      </c>
      <c r="E75" s="9">
        <v>631</v>
      </c>
      <c r="F75" s="9">
        <v>131</v>
      </c>
      <c r="G75" s="9">
        <v>0</v>
      </c>
      <c r="H75" s="9">
        <v>11.571</v>
      </c>
      <c r="I75" s="9">
        <v>1504.211</v>
      </c>
      <c r="J75" s="9">
        <v>1</v>
      </c>
      <c r="K75" s="9" t="b">
        <v>1</v>
      </c>
      <c r="L75" s="10">
        <v>46167.836805555555</v>
      </c>
      <c r="M75" s="29" t="str">
        <f t="shared" si="8"/>
        <v>238829520 -&gt; 5990070#1 | t=500 | 25/05/2026 20:05</v>
      </c>
      <c r="N75" s="1" t="str">
        <f t="shared" si="9"/>
        <v>2 min 11 s</v>
      </c>
      <c r="O75" s="6">
        <f t="shared" si="10"/>
        <v>41.6556</v>
      </c>
      <c r="P75" s="23">
        <f t="shared" si="11"/>
        <v>1.504211</v>
      </c>
      <c r="Q75" s="4">
        <f t="shared" si="12"/>
        <v>2.3032407407407407E-3</v>
      </c>
      <c r="R75" s="1" t="str">
        <f t="shared" si="13"/>
        <v>1 min 08 s</v>
      </c>
      <c r="S75" s="7">
        <f t="shared" si="14"/>
        <v>0.34170854271356788</v>
      </c>
      <c r="T75" s="1" t="str">
        <f t="shared" si="15"/>
        <v>Mejora</v>
      </c>
      <c r="V75" s="25"/>
      <c r="W75" s="25"/>
    </row>
    <row r="76" spans="1:23" x14ac:dyDescent="0.3">
      <c r="A76" s="9" t="s">
        <v>12</v>
      </c>
      <c r="B76" s="9" t="s">
        <v>22</v>
      </c>
      <c r="C76" s="9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7.5910000000000002</v>
      </c>
      <c r="I76" s="9">
        <v>1510.653</v>
      </c>
      <c r="J76" s="9">
        <v>0</v>
      </c>
      <c r="K76" s="9" t="b">
        <v>1</v>
      </c>
      <c r="L76" s="10">
        <v>46167.847222222219</v>
      </c>
      <c r="M76" s="29" t="str">
        <f t="shared" si="8"/>
        <v>238829520 -&gt; 5990070#1 | t=500 | 25/05/2026 20:20</v>
      </c>
      <c r="N76" s="1" t="str">
        <f t="shared" si="9"/>
        <v>3 min 20 s</v>
      </c>
      <c r="O76" s="6">
        <f t="shared" si="10"/>
        <v>27.3276</v>
      </c>
      <c r="P76" s="23">
        <f t="shared" si="11"/>
        <v>1.510653</v>
      </c>
      <c r="Q76" s="4">
        <f t="shared" si="12"/>
        <v>2.3148148148148147E-3</v>
      </c>
      <c r="R76" s="1" t="str">
        <f t="shared" si="13"/>
        <v/>
      </c>
      <c r="S76" s="7" t="str">
        <f t="shared" si="14"/>
        <v/>
      </c>
      <c r="T76" s="1" t="str">
        <f t="shared" si="15"/>
        <v>Referencia</v>
      </c>
      <c r="V76" s="25"/>
      <c r="W76" s="25"/>
    </row>
    <row r="77" spans="1:23" x14ac:dyDescent="0.3">
      <c r="A77" s="9" t="s">
        <v>13</v>
      </c>
      <c r="B77" s="9" t="s">
        <v>22</v>
      </c>
      <c r="C77" s="9" t="s">
        <v>24</v>
      </c>
      <c r="D77" s="9">
        <v>500</v>
      </c>
      <c r="E77" s="9">
        <v>634</v>
      </c>
      <c r="F77" s="9">
        <v>134</v>
      </c>
      <c r="G77" s="9">
        <v>0</v>
      </c>
      <c r="H77" s="9">
        <v>11.356999999999999</v>
      </c>
      <c r="I77" s="9">
        <v>1510.4549999999999</v>
      </c>
      <c r="J77" s="9">
        <v>1</v>
      </c>
      <c r="K77" s="9" t="b">
        <v>1</v>
      </c>
      <c r="L77" s="10">
        <v>46167.847222222219</v>
      </c>
      <c r="M77" s="29" t="str">
        <f t="shared" si="8"/>
        <v>238829520 -&gt; 5990070#1 | t=500 | 25/05/2026 20:20</v>
      </c>
      <c r="N77" s="1" t="str">
        <f t="shared" si="9"/>
        <v>2 min 14 s</v>
      </c>
      <c r="O77" s="6">
        <f t="shared" si="10"/>
        <v>40.885199999999998</v>
      </c>
      <c r="P77" s="23">
        <f t="shared" si="11"/>
        <v>1.5104549999999999</v>
      </c>
      <c r="Q77" s="4">
        <f t="shared" si="12"/>
        <v>2.3148148148148147E-3</v>
      </c>
      <c r="R77" s="1" t="str">
        <f t="shared" si="13"/>
        <v>1 min 06 s</v>
      </c>
      <c r="S77" s="7">
        <f t="shared" si="14"/>
        <v>0.33</v>
      </c>
      <c r="T77" s="1" t="str">
        <f t="shared" si="15"/>
        <v>Mejora</v>
      </c>
      <c r="V77" s="25"/>
      <c r="W77" s="25"/>
    </row>
    <row r="78" spans="1:23" x14ac:dyDescent="0.3">
      <c r="A78" s="9" t="s">
        <v>12</v>
      </c>
      <c r="B78" s="9" t="s">
        <v>22</v>
      </c>
      <c r="C78" s="9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7.601</v>
      </c>
      <c r="I78" s="9">
        <v>1505.0730000000001</v>
      </c>
      <c r="J78" s="9">
        <v>0</v>
      </c>
      <c r="K78" s="9" t="b">
        <v>1</v>
      </c>
      <c r="L78" s="10">
        <v>46167.854166666664</v>
      </c>
      <c r="M78" s="29" t="str">
        <f t="shared" si="8"/>
        <v>238829520 -&gt; 5990070#1 | t=500 | 25/05/2026 20:30</v>
      </c>
      <c r="N78" s="1" t="str">
        <f t="shared" si="9"/>
        <v>3 min 19 s</v>
      </c>
      <c r="O78" s="6">
        <f t="shared" si="10"/>
        <v>27.363600000000002</v>
      </c>
      <c r="P78" s="23">
        <f t="shared" si="11"/>
        <v>1.5050730000000001</v>
      </c>
      <c r="Q78" s="4">
        <f t="shared" si="12"/>
        <v>2.3032407407407407E-3</v>
      </c>
      <c r="R78" s="1" t="str">
        <f t="shared" si="13"/>
        <v/>
      </c>
      <c r="S78" s="7" t="str">
        <f t="shared" si="14"/>
        <v/>
      </c>
      <c r="T78" s="1" t="str">
        <f t="shared" si="15"/>
        <v>Referencia</v>
      </c>
      <c r="V78" s="25"/>
      <c r="W78" s="25"/>
    </row>
    <row r="79" spans="1:23" x14ac:dyDescent="0.3">
      <c r="A79" s="9" t="s">
        <v>13</v>
      </c>
      <c r="B79" s="9" t="s">
        <v>22</v>
      </c>
      <c r="C79" s="9" t="s">
        <v>24</v>
      </c>
      <c r="D79" s="9">
        <v>500</v>
      </c>
      <c r="E79" s="9">
        <v>634</v>
      </c>
      <c r="F79" s="9">
        <v>134</v>
      </c>
      <c r="G79" s="9">
        <v>0</v>
      </c>
      <c r="H79" s="9">
        <v>11.337</v>
      </c>
      <c r="I79" s="9">
        <v>1507.828</v>
      </c>
      <c r="J79" s="9">
        <v>1</v>
      </c>
      <c r="K79" s="9" t="b">
        <v>1</v>
      </c>
      <c r="L79" s="10">
        <v>46167.854166666664</v>
      </c>
      <c r="M79" s="29" t="str">
        <f t="shared" si="8"/>
        <v>238829520 -&gt; 5990070#1 | t=500 | 25/05/2026 20:30</v>
      </c>
      <c r="N79" s="1" t="str">
        <f t="shared" si="9"/>
        <v>2 min 14 s</v>
      </c>
      <c r="O79" s="6">
        <f t="shared" si="10"/>
        <v>40.813200000000002</v>
      </c>
      <c r="P79" s="23">
        <f t="shared" si="11"/>
        <v>1.5078279999999999</v>
      </c>
      <c r="Q79" s="4">
        <f t="shared" si="12"/>
        <v>2.3032407407407407E-3</v>
      </c>
      <c r="R79" s="1" t="str">
        <f t="shared" si="13"/>
        <v>1 min 05 s</v>
      </c>
      <c r="S79" s="7">
        <f t="shared" si="14"/>
        <v>0.32663316582914576</v>
      </c>
      <c r="T79" s="1" t="str">
        <f t="shared" si="15"/>
        <v>Mejora</v>
      </c>
      <c r="V79" s="25"/>
      <c r="W79" s="25"/>
    </row>
    <row r="80" spans="1:23" x14ac:dyDescent="0.3">
      <c r="A80" s="9" t="s">
        <v>12</v>
      </c>
      <c r="B80" s="9" t="s">
        <v>22</v>
      </c>
      <c r="C80" s="9" t="s">
        <v>24</v>
      </c>
      <c r="D80" s="9">
        <v>500</v>
      </c>
      <c r="E80" s="9">
        <v>699</v>
      </c>
      <c r="F80" s="9">
        <v>199</v>
      </c>
      <c r="G80" s="9">
        <v>0</v>
      </c>
      <c r="H80" s="9">
        <v>7.6070000000000002</v>
      </c>
      <c r="I80" s="9">
        <v>1506.2719999999999</v>
      </c>
      <c r="J80" s="9">
        <v>0</v>
      </c>
      <c r="K80" s="9" t="b">
        <v>1</v>
      </c>
      <c r="L80" s="10">
        <v>46167.864583333336</v>
      </c>
      <c r="M80" s="29" t="str">
        <f t="shared" si="8"/>
        <v>238829520 -&gt; 5990070#1 | t=500 | 25/05/2026 20:45</v>
      </c>
      <c r="N80" s="1" t="str">
        <f t="shared" si="9"/>
        <v>3 min 19 s</v>
      </c>
      <c r="O80" s="6">
        <f t="shared" si="10"/>
        <v>27.385200000000001</v>
      </c>
      <c r="P80" s="23">
        <f t="shared" si="11"/>
        <v>1.5062719999999998</v>
      </c>
      <c r="Q80" s="4">
        <f t="shared" si="12"/>
        <v>2.3032407407407407E-3</v>
      </c>
      <c r="R80" s="1" t="str">
        <f t="shared" si="13"/>
        <v/>
      </c>
      <c r="S80" s="7" t="str">
        <f t="shared" si="14"/>
        <v/>
      </c>
      <c r="T80" s="1" t="str">
        <f t="shared" si="15"/>
        <v>Referencia</v>
      </c>
      <c r="V80" s="25"/>
      <c r="W80" s="25"/>
    </row>
    <row r="81" spans="1:23" x14ac:dyDescent="0.3">
      <c r="A81" s="9" t="s">
        <v>13</v>
      </c>
      <c r="B81" s="9" t="s">
        <v>22</v>
      </c>
      <c r="C81" s="9" t="s">
        <v>24</v>
      </c>
      <c r="D81" s="9">
        <v>500</v>
      </c>
      <c r="E81" s="9">
        <v>635</v>
      </c>
      <c r="F81" s="9">
        <v>135</v>
      </c>
      <c r="G81" s="9">
        <v>0</v>
      </c>
      <c r="H81" s="9">
        <v>11.23</v>
      </c>
      <c r="I81" s="9">
        <v>1504.866</v>
      </c>
      <c r="J81" s="9">
        <v>1</v>
      </c>
      <c r="K81" s="9" t="b">
        <v>1</v>
      </c>
      <c r="L81" s="10">
        <v>46167.864583333336</v>
      </c>
      <c r="M81" s="29" t="str">
        <f t="shared" si="8"/>
        <v>238829520 -&gt; 5990070#1 | t=500 | 25/05/2026 20:45</v>
      </c>
      <c r="N81" s="1" t="str">
        <f t="shared" si="9"/>
        <v>2 min 15 s</v>
      </c>
      <c r="O81" s="6">
        <f t="shared" si="10"/>
        <v>40.428000000000004</v>
      </c>
      <c r="P81" s="23">
        <f t="shared" si="11"/>
        <v>1.504866</v>
      </c>
      <c r="Q81" s="4">
        <f t="shared" si="12"/>
        <v>2.3032407407407407E-3</v>
      </c>
      <c r="R81" s="1" t="str">
        <f t="shared" si="13"/>
        <v>1 min 04 s</v>
      </c>
      <c r="S81" s="7">
        <f t="shared" si="14"/>
        <v>0.32160804020100497</v>
      </c>
      <c r="T81" s="1" t="str">
        <f t="shared" si="15"/>
        <v>Mejora</v>
      </c>
      <c r="V81" s="25"/>
      <c r="W81" s="25"/>
    </row>
    <row r="82" spans="1:23" x14ac:dyDescent="0.3">
      <c r="A82" s="9" t="s">
        <v>12</v>
      </c>
      <c r="B82" s="9" t="s">
        <v>22</v>
      </c>
      <c r="C82" s="9" t="s">
        <v>24</v>
      </c>
      <c r="D82" s="9">
        <v>500</v>
      </c>
      <c r="E82" s="9">
        <v>699</v>
      </c>
      <c r="F82" s="9">
        <v>199</v>
      </c>
      <c r="G82" s="9">
        <v>0</v>
      </c>
      <c r="H82" s="9">
        <v>7.6150000000000002</v>
      </c>
      <c r="I82" s="9">
        <v>1507.691</v>
      </c>
      <c r="J82" s="9">
        <v>0</v>
      </c>
      <c r="K82" s="9" t="b">
        <v>1</v>
      </c>
      <c r="L82" s="10">
        <v>46167.899305555555</v>
      </c>
      <c r="M82" s="29" t="str">
        <f t="shared" si="8"/>
        <v>238829520 -&gt; 5990070#1 | t=500 | 25/05/2026 21:35</v>
      </c>
      <c r="N82" s="1" t="str">
        <f t="shared" si="9"/>
        <v>3 min 19 s</v>
      </c>
      <c r="O82" s="6">
        <f t="shared" si="10"/>
        <v>27.414000000000001</v>
      </c>
      <c r="P82" s="23">
        <f t="shared" si="11"/>
        <v>1.5076910000000001</v>
      </c>
      <c r="Q82" s="4">
        <f t="shared" si="12"/>
        <v>2.3032407407407407E-3</v>
      </c>
      <c r="R82" s="1" t="str">
        <f t="shared" si="13"/>
        <v/>
      </c>
      <c r="S82" s="7" t="str">
        <f t="shared" si="14"/>
        <v/>
      </c>
      <c r="T82" s="1" t="str">
        <f t="shared" si="15"/>
        <v>Referencia</v>
      </c>
      <c r="V82" s="25"/>
      <c r="W82" s="25"/>
    </row>
    <row r="83" spans="1:23" x14ac:dyDescent="0.3">
      <c r="A83" s="9" t="s">
        <v>13</v>
      </c>
      <c r="B83" s="9" t="s">
        <v>22</v>
      </c>
      <c r="C83" s="9" t="s">
        <v>24</v>
      </c>
      <c r="D83" s="9">
        <v>500</v>
      </c>
      <c r="E83" s="9">
        <v>627</v>
      </c>
      <c r="F83" s="9">
        <v>127</v>
      </c>
      <c r="G83" s="9">
        <v>0</v>
      </c>
      <c r="H83" s="9">
        <v>11.253</v>
      </c>
      <c r="I83" s="9">
        <v>1507.8910000000001</v>
      </c>
      <c r="J83" s="9">
        <v>2</v>
      </c>
      <c r="K83" s="9" t="b">
        <v>1</v>
      </c>
      <c r="L83" s="10">
        <v>46167.899305555555</v>
      </c>
      <c r="M83" s="29" t="str">
        <f t="shared" si="8"/>
        <v>238829520 -&gt; 5990070#1 | t=500 | 25/05/2026 21:35</v>
      </c>
      <c r="N83" s="1" t="str">
        <f t="shared" si="9"/>
        <v>2 min 07 s</v>
      </c>
      <c r="O83" s="6">
        <f t="shared" si="10"/>
        <v>40.510800000000003</v>
      </c>
      <c r="P83" s="23">
        <f t="shared" si="11"/>
        <v>1.5078910000000001</v>
      </c>
      <c r="Q83" s="4">
        <f t="shared" si="12"/>
        <v>2.3032407407407407E-3</v>
      </c>
      <c r="R83" s="1" t="str">
        <f t="shared" si="13"/>
        <v>1 min 12 s</v>
      </c>
      <c r="S83" s="7">
        <f t="shared" si="14"/>
        <v>0.36180904522613067</v>
      </c>
      <c r="T83" s="1" t="str">
        <f t="shared" si="15"/>
        <v>Mejora</v>
      </c>
      <c r="V83" s="25"/>
      <c r="W83" s="25"/>
    </row>
    <row r="84" spans="1:23" x14ac:dyDescent="0.3">
      <c r="A84" s="9" t="s">
        <v>12</v>
      </c>
      <c r="B84" s="9" t="s">
        <v>22</v>
      </c>
      <c r="C84" s="9" t="s">
        <v>24</v>
      </c>
      <c r="D84" s="9">
        <v>500</v>
      </c>
      <c r="E84" s="9">
        <v>700</v>
      </c>
      <c r="F84" s="9">
        <v>200</v>
      </c>
      <c r="G84" s="9">
        <v>0</v>
      </c>
      <c r="H84" s="9">
        <v>7.5830000000000002</v>
      </c>
      <c r="I84" s="9">
        <v>1509.0519999999999</v>
      </c>
      <c r="J84" s="9">
        <v>0</v>
      </c>
      <c r="K84" s="9" t="b">
        <v>1</v>
      </c>
      <c r="L84" s="10">
        <v>46167.923611111109</v>
      </c>
      <c r="M84" s="29" t="str">
        <f t="shared" si="8"/>
        <v>238829520 -&gt; 5990070#1 | t=500 | 25/05/2026 22:10</v>
      </c>
      <c r="N84" s="1" t="str">
        <f t="shared" si="9"/>
        <v>3 min 20 s</v>
      </c>
      <c r="O84" s="6">
        <f t="shared" si="10"/>
        <v>27.2988</v>
      </c>
      <c r="P84" s="23">
        <f t="shared" si="11"/>
        <v>1.5090519999999998</v>
      </c>
      <c r="Q84" s="4">
        <f t="shared" si="12"/>
        <v>2.3148148148148147E-3</v>
      </c>
      <c r="R84" s="1" t="str">
        <f t="shared" si="13"/>
        <v/>
      </c>
      <c r="S84" s="7" t="str">
        <f t="shared" si="14"/>
        <v/>
      </c>
      <c r="T84" s="1" t="str">
        <f t="shared" si="15"/>
        <v>Referencia</v>
      </c>
      <c r="V84" s="25"/>
      <c r="W84" s="25"/>
    </row>
    <row r="85" spans="1:23" x14ac:dyDescent="0.3">
      <c r="A85" s="9" t="s">
        <v>13</v>
      </c>
      <c r="B85" s="9" t="s">
        <v>22</v>
      </c>
      <c r="C85" s="9" t="s">
        <v>24</v>
      </c>
      <c r="D85" s="9">
        <v>500</v>
      </c>
      <c r="E85" s="9">
        <v>623</v>
      </c>
      <c r="F85" s="9">
        <v>123</v>
      </c>
      <c r="G85" s="9">
        <v>0</v>
      </c>
      <c r="H85" s="9">
        <v>12.351000000000001</v>
      </c>
      <c r="I85" s="9">
        <v>1506.7660000000001</v>
      </c>
      <c r="J85" s="9">
        <v>3</v>
      </c>
      <c r="K85" s="9" t="b">
        <v>1</v>
      </c>
      <c r="L85" s="10">
        <v>46167.923611111109</v>
      </c>
      <c r="M85" s="29" t="str">
        <f t="shared" si="8"/>
        <v>238829520 -&gt; 5990070#1 | t=500 | 25/05/2026 22:10</v>
      </c>
      <c r="N85" s="1" t="str">
        <f t="shared" si="9"/>
        <v>2 min 03 s</v>
      </c>
      <c r="O85" s="6">
        <f t="shared" si="10"/>
        <v>44.463600000000007</v>
      </c>
      <c r="P85" s="23">
        <f t="shared" si="11"/>
        <v>1.506766</v>
      </c>
      <c r="Q85" s="4">
        <f t="shared" si="12"/>
        <v>2.3148148148148147E-3</v>
      </c>
      <c r="R85" s="1" t="str">
        <f t="shared" si="13"/>
        <v>1 min 17 s</v>
      </c>
      <c r="S85" s="7">
        <f t="shared" si="14"/>
        <v>0.38499999999999995</v>
      </c>
      <c r="T85" s="1" t="str">
        <f t="shared" si="15"/>
        <v>Mejora</v>
      </c>
      <c r="V85" s="25"/>
      <c r="W85" s="25"/>
    </row>
    <row r="86" spans="1:23" x14ac:dyDescent="0.3">
      <c r="A86" s="9" t="s">
        <v>12</v>
      </c>
      <c r="B86" s="9" t="s">
        <v>22</v>
      </c>
      <c r="C86" s="9" t="s">
        <v>24</v>
      </c>
      <c r="D86" s="9">
        <v>500</v>
      </c>
      <c r="E86" s="9">
        <v>701</v>
      </c>
      <c r="F86" s="9">
        <v>201</v>
      </c>
      <c r="G86" s="9">
        <v>0</v>
      </c>
      <c r="H86" s="9">
        <v>7.5369999999999999</v>
      </c>
      <c r="I86" s="9">
        <v>1507.415</v>
      </c>
      <c r="J86" s="9">
        <v>0</v>
      </c>
      <c r="K86" s="9" t="b">
        <v>1</v>
      </c>
      <c r="L86" s="10">
        <v>46167.986111111109</v>
      </c>
      <c r="M86" s="29" t="str">
        <f t="shared" si="8"/>
        <v>238829520 -&gt; 5990070#1 | t=500 | 25/05/2026 23:40</v>
      </c>
      <c r="N86" s="1" t="str">
        <f t="shared" si="9"/>
        <v>3 min 21 s</v>
      </c>
      <c r="O86" s="6">
        <f t="shared" si="10"/>
        <v>27.133199999999999</v>
      </c>
      <c r="P86" s="23">
        <f t="shared" si="11"/>
        <v>1.5074149999999999</v>
      </c>
      <c r="Q86" s="4">
        <f t="shared" si="12"/>
        <v>2.3263888888888887E-3</v>
      </c>
      <c r="R86" s="1" t="str">
        <f t="shared" si="13"/>
        <v/>
      </c>
      <c r="S86" s="7" t="str">
        <f t="shared" si="14"/>
        <v/>
      </c>
      <c r="T86" s="1" t="str">
        <f t="shared" si="15"/>
        <v>Referencia</v>
      </c>
      <c r="V86" s="25"/>
      <c r="W86" s="25"/>
    </row>
    <row r="87" spans="1:23" x14ac:dyDescent="0.3">
      <c r="A87" s="9" t="s">
        <v>13</v>
      </c>
      <c r="B87" s="9" t="s">
        <v>22</v>
      </c>
      <c r="C87" s="9" t="s">
        <v>24</v>
      </c>
      <c r="D87" s="9">
        <v>500</v>
      </c>
      <c r="E87" s="9">
        <v>634</v>
      </c>
      <c r="F87" s="9">
        <v>134</v>
      </c>
      <c r="G87" s="9">
        <v>0</v>
      </c>
      <c r="H87" s="9">
        <v>11.311</v>
      </c>
      <c r="I87" s="9">
        <v>1504.306</v>
      </c>
      <c r="J87" s="9">
        <v>1</v>
      </c>
      <c r="K87" s="9" t="b">
        <v>1</v>
      </c>
      <c r="L87" s="10">
        <v>46167.986111111109</v>
      </c>
      <c r="M87" s="29" t="str">
        <f t="shared" si="8"/>
        <v>238829520 -&gt; 5990070#1 | t=500 | 25/05/2026 23:40</v>
      </c>
      <c r="N87" s="1" t="str">
        <f t="shared" si="9"/>
        <v>2 min 14 s</v>
      </c>
      <c r="O87" s="6">
        <f t="shared" si="10"/>
        <v>40.7196</v>
      </c>
      <c r="P87" s="23">
        <f t="shared" si="11"/>
        <v>1.5043060000000001</v>
      </c>
      <c r="Q87" s="4">
        <f t="shared" si="12"/>
        <v>2.3263888888888887E-3</v>
      </c>
      <c r="R87" s="1" t="str">
        <f t="shared" si="13"/>
        <v>1 min 07 s</v>
      </c>
      <c r="S87" s="7">
        <f t="shared" si="14"/>
        <v>0.33333333333333331</v>
      </c>
      <c r="T87" s="1" t="str">
        <f t="shared" si="15"/>
        <v>Mejora</v>
      </c>
      <c r="V87" s="25" t="s">
        <v>44</v>
      </c>
      <c r="W87" s="25" t="s">
        <v>42</v>
      </c>
    </row>
    <row r="88" spans="1:23" x14ac:dyDescent="0.3">
      <c r="A88" s="9" t="s">
        <v>12</v>
      </c>
      <c r="B88" s="9" t="s">
        <v>24</v>
      </c>
      <c r="C88" s="9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46168.489583333336</v>
      </c>
      <c r="M88" s="29" t="str">
        <f t="shared" si="8"/>
        <v>5990070#1 -&gt; 238829520 | t=500 | 26/05/2026 11:45</v>
      </c>
      <c r="N88" s="1" t="str">
        <f t="shared" si="9"/>
        <v>7 min 01 s</v>
      </c>
      <c r="O88" s="6">
        <f t="shared" si="10"/>
        <v>21.110399999999998</v>
      </c>
      <c r="P88" s="23">
        <f t="shared" si="11"/>
        <v>1.6184430000000001</v>
      </c>
      <c r="Q88" s="4">
        <f t="shared" si="12"/>
        <v>4.8726851851851848E-3</v>
      </c>
      <c r="R88" s="1" t="str">
        <f t="shared" si="13"/>
        <v/>
      </c>
      <c r="S88" s="7" t="str">
        <f t="shared" si="14"/>
        <v/>
      </c>
      <c r="T88" s="1" t="str">
        <f t="shared" si="15"/>
        <v>Referencia</v>
      </c>
    </row>
    <row r="89" spans="1:23" x14ac:dyDescent="0.3">
      <c r="A89" s="9" t="s">
        <v>13</v>
      </c>
      <c r="B89" s="9" t="s">
        <v>24</v>
      </c>
      <c r="C89" s="9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46168.489583333336</v>
      </c>
      <c r="M89" s="29" t="str">
        <f t="shared" si="8"/>
        <v>5990070#1 -&gt; 238829520 | t=500 | 26/05/2026 11:45</v>
      </c>
      <c r="N89" s="1" t="str">
        <f t="shared" si="9"/>
        <v>7 min 01 s</v>
      </c>
      <c r="O89" s="6">
        <f t="shared" si="10"/>
        <v>21.110399999999998</v>
      </c>
      <c r="P89" s="23">
        <f t="shared" si="11"/>
        <v>1.6184430000000001</v>
      </c>
      <c r="Q89" s="4">
        <f t="shared" si="12"/>
        <v>4.8726851851851848E-3</v>
      </c>
      <c r="R89" s="1" t="str">
        <f t="shared" si="13"/>
        <v>0 min 00 s</v>
      </c>
      <c r="S89" s="7">
        <f t="shared" si="14"/>
        <v>0</v>
      </c>
      <c r="T89" s="1" t="str">
        <f t="shared" si="15"/>
        <v>Igual</v>
      </c>
    </row>
    <row r="90" spans="1:23" x14ac:dyDescent="0.3">
      <c r="A90" s="9" t="s">
        <v>12</v>
      </c>
      <c r="B90" s="9" t="s">
        <v>22</v>
      </c>
      <c r="C90" s="9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46168.513888888891</v>
      </c>
      <c r="M90" s="29" t="str">
        <f t="shared" si="8"/>
        <v>238829520 -&gt; 5990070#1 | t=1500 | 26/05/2026 12:20</v>
      </c>
      <c r="N90" s="1" t="str">
        <f t="shared" si="9"/>
        <v>5 min 06 s</v>
      </c>
      <c r="O90" s="6">
        <f t="shared" si="10"/>
        <v>17.784000000000002</v>
      </c>
      <c r="P90" s="23">
        <f t="shared" si="11"/>
        <v>1.50657</v>
      </c>
      <c r="Q90" s="4">
        <f t="shared" si="12"/>
        <v>3.5416666666666665E-3</v>
      </c>
      <c r="R90" s="1" t="str">
        <f t="shared" si="13"/>
        <v/>
      </c>
      <c r="S90" s="7" t="str">
        <f t="shared" si="14"/>
        <v/>
      </c>
      <c r="T90" s="1" t="str">
        <f t="shared" si="15"/>
        <v>Referencia</v>
      </c>
    </row>
    <row r="91" spans="1:23" x14ac:dyDescent="0.3">
      <c r="A91" s="9" t="s">
        <v>13</v>
      </c>
      <c r="B91" s="9" t="s">
        <v>22</v>
      </c>
      <c r="C91" s="9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46168.513888888891</v>
      </c>
      <c r="M91" s="29" t="str">
        <f t="shared" si="8"/>
        <v>238829520 -&gt; 5990070#1 | t=1500 | 26/05/2026 12:20</v>
      </c>
      <c r="N91" s="1" t="str">
        <f t="shared" si="9"/>
        <v>7 min 42 s</v>
      </c>
      <c r="O91" s="6">
        <f t="shared" si="10"/>
        <v>11.764799999999999</v>
      </c>
      <c r="P91" s="23">
        <f t="shared" si="11"/>
        <v>1.5065299999999999</v>
      </c>
      <c r="Q91" s="4">
        <f t="shared" si="12"/>
        <v>3.5416666666666665E-3</v>
      </c>
      <c r="R91" s="1" t="str">
        <f t="shared" si="13"/>
        <v>-2 min 36 s</v>
      </c>
      <c r="S91" s="7">
        <f t="shared" si="14"/>
        <v>-0.50980392156862742</v>
      </c>
      <c r="T91" s="1" t="str">
        <f t="shared" si="15"/>
        <v>Empeora</v>
      </c>
    </row>
    <row r="92" spans="1:23" x14ac:dyDescent="0.3">
      <c r="A92" s="9" t="s">
        <v>12</v>
      </c>
      <c r="B92" s="9" t="s">
        <v>22</v>
      </c>
      <c r="C92" s="9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46168.513888888891</v>
      </c>
      <c r="M92" s="29" t="str">
        <f t="shared" si="8"/>
        <v>238829520 -&gt; 5990070#1 | t=700 | 26/05/2026 12:20</v>
      </c>
      <c r="N92" s="1" t="str">
        <f t="shared" si="9"/>
        <v>3 min 01 s</v>
      </c>
      <c r="O92" s="6">
        <f t="shared" si="10"/>
        <v>30.103200000000001</v>
      </c>
      <c r="P92" s="23">
        <f t="shared" si="11"/>
        <v>1.5051840000000001</v>
      </c>
      <c r="Q92" s="4">
        <f t="shared" si="12"/>
        <v>2.0949074074074073E-3</v>
      </c>
      <c r="R92" s="1" t="str">
        <f t="shared" si="13"/>
        <v/>
      </c>
      <c r="S92" s="7" t="str">
        <f t="shared" si="14"/>
        <v/>
      </c>
      <c r="T92" s="1" t="str">
        <f t="shared" si="15"/>
        <v>Referencia</v>
      </c>
    </row>
    <row r="93" spans="1:23" x14ac:dyDescent="0.3">
      <c r="A93" s="9" t="s">
        <v>13</v>
      </c>
      <c r="B93" s="9" t="s">
        <v>22</v>
      </c>
      <c r="C93" s="9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46168.513888888891</v>
      </c>
      <c r="M93" s="29" t="str">
        <f t="shared" si="8"/>
        <v>238829520 -&gt; 5990070#1 | t=700 | 26/05/2026 12:20</v>
      </c>
      <c r="N93" s="1" t="str">
        <f t="shared" si="9"/>
        <v>2 min 58 s</v>
      </c>
      <c r="O93" s="6">
        <f t="shared" si="10"/>
        <v>30.581999999999997</v>
      </c>
      <c r="P93" s="23">
        <f t="shared" si="11"/>
        <v>1.503687</v>
      </c>
      <c r="Q93" s="4">
        <f t="shared" si="12"/>
        <v>2.0949074074074073E-3</v>
      </c>
      <c r="R93" s="1" t="str">
        <f t="shared" si="13"/>
        <v>0 min 03 s</v>
      </c>
      <c r="S93" s="7">
        <f t="shared" si="14"/>
        <v>1.6574585635359018E-2</v>
      </c>
      <c r="T93" s="1" t="str">
        <f t="shared" si="15"/>
        <v>Mejora</v>
      </c>
    </row>
    <row r="94" spans="1:23" x14ac:dyDescent="0.3">
      <c r="A94" s="9" t="s">
        <v>12</v>
      </c>
      <c r="B94" s="9" t="s">
        <v>22</v>
      </c>
      <c r="C94" s="9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46168.513888888891</v>
      </c>
      <c r="M94" s="29" t="str">
        <f t="shared" si="8"/>
        <v>238829520 -&gt; 5990070#1 | t=500 | 26/05/2026 12:20</v>
      </c>
      <c r="N94" s="1" t="str">
        <f t="shared" si="9"/>
        <v>3 min 20 s</v>
      </c>
      <c r="O94" s="6">
        <f t="shared" si="10"/>
        <v>27.331199999999999</v>
      </c>
      <c r="P94" s="23">
        <f t="shared" si="11"/>
        <v>1.5107190000000001</v>
      </c>
      <c r="Q94" s="4">
        <f t="shared" si="12"/>
        <v>2.3148148148148147E-3</v>
      </c>
      <c r="R94" s="1" t="str">
        <f t="shared" si="13"/>
        <v/>
      </c>
      <c r="S94" s="7" t="str">
        <f t="shared" si="14"/>
        <v/>
      </c>
      <c r="T94" s="1" t="str">
        <f t="shared" si="15"/>
        <v>Referencia</v>
      </c>
    </row>
    <row r="95" spans="1:23" x14ac:dyDescent="0.3">
      <c r="A95" s="9" t="s">
        <v>13</v>
      </c>
      <c r="B95" s="9" t="s">
        <v>22</v>
      </c>
      <c r="C95" s="9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46168.513888888891</v>
      </c>
      <c r="M95" s="29" t="str">
        <f t="shared" si="8"/>
        <v>238829520 -&gt; 5990070#1 | t=500 | 26/05/2026 12:20</v>
      </c>
      <c r="N95" s="1" t="str">
        <f t="shared" si="9"/>
        <v>2 min 08 s</v>
      </c>
      <c r="O95" s="6">
        <f t="shared" si="10"/>
        <v>42.688800000000001</v>
      </c>
      <c r="P95" s="23">
        <f t="shared" si="11"/>
        <v>1.5059559999999999</v>
      </c>
      <c r="Q95" s="4">
        <f t="shared" si="12"/>
        <v>2.3148148148148147E-3</v>
      </c>
      <c r="R95" s="1" t="str">
        <f t="shared" si="13"/>
        <v>1 min 12 s</v>
      </c>
      <c r="S95" s="7">
        <f t="shared" si="14"/>
        <v>0.36</v>
      </c>
      <c r="T95" s="1" t="str">
        <f t="shared" si="15"/>
        <v>Mejora</v>
      </c>
    </row>
    <row r="96" spans="1:23" x14ac:dyDescent="0.3">
      <c r="A96" s="9" t="s">
        <v>12</v>
      </c>
      <c r="B96" s="9" t="s">
        <v>22</v>
      </c>
      <c r="C96" s="9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46182.5625</v>
      </c>
      <c r="M96" s="29" t="str">
        <f t="shared" si="8"/>
        <v>238829520 -&gt; 5990070#1 | t=500 | 09/06/2026 13:30</v>
      </c>
      <c r="N96" s="1" t="str">
        <f t="shared" si="9"/>
        <v>4 min 52 s</v>
      </c>
      <c r="O96" s="6">
        <f t="shared" si="10"/>
        <v>18.594000000000001</v>
      </c>
      <c r="P96" s="23">
        <f t="shared" si="11"/>
        <v>1.5029809999999999</v>
      </c>
      <c r="Q96" s="4">
        <f t="shared" si="12"/>
        <v>3.3796296296296296E-3</v>
      </c>
      <c r="R96" s="1" t="str">
        <f t="shared" si="13"/>
        <v/>
      </c>
      <c r="S96" s="7" t="str">
        <f t="shared" si="14"/>
        <v/>
      </c>
      <c r="T96" s="1" t="str">
        <f t="shared" si="15"/>
        <v>Referencia</v>
      </c>
    </row>
    <row r="97" spans="1:20" x14ac:dyDescent="0.3">
      <c r="A97" s="9" t="s">
        <v>13</v>
      </c>
      <c r="B97" s="9" t="s">
        <v>22</v>
      </c>
      <c r="C97" s="9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46182.5625</v>
      </c>
      <c r="M97" s="29" t="str">
        <f t="shared" si="8"/>
        <v>238829520 -&gt; 5990070#1 | t=500 | 09/06/2026 13:30</v>
      </c>
      <c r="N97" s="1" t="str">
        <f t="shared" si="9"/>
        <v>3 min 21 s</v>
      </c>
      <c r="O97" s="6">
        <f t="shared" si="10"/>
        <v>27.043199999999999</v>
      </c>
      <c r="P97" s="23">
        <f t="shared" si="11"/>
        <v>1.502316</v>
      </c>
      <c r="Q97" s="4">
        <f t="shared" si="12"/>
        <v>3.3796296296296296E-3</v>
      </c>
      <c r="R97" s="1" t="str">
        <f t="shared" si="13"/>
        <v>1 min 31 s</v>
      </c>
      <c r="S97" s="7">
        <f t="shared" si="14"/>
        <v>0.31164383561643838</v>
      </c>
      <c r="T97" s="1" t="str">
        <f t="shared" si="15"/>
        <v>Mejora</v>
      </c>
    </row>
    <row r="98" spans="1:20" x14ac:dyDescent="0.3">
      <c r="A98" s="9" t="s">
        <v>12</v>
      </c>
      <c r="B98" s="9" t="s">
        <v>22</v>
      </c>
      <c r="C98" s="9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46214.784722222219</v>
      </c>
      <c r="M98" s="29" t="str">
        <f t="shared" si="8"/>
        <v>238829520 -&gt; 5990070#1 | t=500 | 11/07/2026 18:50</v>
      </c>
      <c r="N98" s="1" t="str">
        <f t="shared" si="9"/>
        <v>3 min 20 s</v>
      </c>
      <c r="O98" s="6">
        <f t="shared" si="10"/>
        <v>27.295200000000001</v>
      </c>
      <c r="P98" s="23">
        <f t="shared" si="11"/>
        <v>1.5088440000000001</v>
      </c>
      <c r="Q98" s="4">
        <f t="shared" si="12"/>
        <v>2.3148148148148147E-3</v>
      </c>
      <c r="R98" s="1" t="str">
        <f t="shared" si="13"/>
        <v/>
      </c>
      <c r="S98" s="7" t="str">
        <f t="shared" si="14"/>
        <v/>
      </c>
      <c r="T98" s="1" t="str">
        <f t="shared" si="15"/>
        <v>Referencia</v>
      </c>
    </row>
    <row r="99" spans="1:20" x14ac:dyDescent="0.3">
      <c r="A99" s="9" t="s">
        <v>13</v>
      </c>
      <c r="B99" s="9" t="s">
        <v>22</v>
      </c>
      <c r="C99" s="9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46214.784722222219</v>
      </c>
      <c r="M99" s="29" t="str">
        <f t="shared" si="8"/>
        <v>238829520 -&gt; 5990070#1 | t=500 | 11/07/2026 18:50</v>
      </c>
      <c r="N99" s="1" t="str">
        <f t="shared" si="9"/>
        <v>2 min 17 s</v>
      </c>
      <c r="O99" s="6">
        <f t="shared" si="10"/>
        <v>39.873600000000003</v>
      </c>
      <c r="P99" s="23">
        <f t="shared" si="11"/>
        <v>1.5063499999999999</v>
      </c>
      <c r="Q99" s="4">
        <f t="shared" si="12"/>
        <v>2.3148148148148147E-3</v>
      </c>
      <c r="R99" s="1" t="str">
        <f t="shared" si="13"/>
        <v>1 min 03 s</v>
      </c>
      <c r="S99" s="7">
        <f t="shared" si="14"/>
        <v>0.315</v>
      </c>
      <c r="T99" s="1" t="str">
        <f t="shared" si="15"/>
        <v>Mejora</v>
      </c>
    </row>
    <row r="100" spans="1:20" x14ac:dyDescent="0.3">
      <c r="A100" s="9" t="s">
        <v>12</v>
      </c>
      <c r="B100" s="9" t="s">
        <v>22</v>
      </c>
      <c r="C100" s="9" t="s">
        <v>24</v>
      </c>
      <c r="D100" s="9">
        <v>500</v>
      </c>
      <c r="E100" s="9">
        <v>699</v>
      </c>
      <c r="F100" s="9">
        <v>199</v>
      </c>
      <c r="G100" s="9">
        <v>0</v>
      </c>
      <c r="H100" s="9">
        <v>7.6059999999999999</v>
      </c>
      <c r="I100" s="9">
        <v>1506.0519999999999</v>
      </c>
      <c r="J100" s="9">
        <v>0</v>
      </c>
      <c r="K100" s="9" t="b">
        <v>1</v>
      </c>
      <c r="L100" s="10">
        <v>46227.871527777781</v>
      </c>
      <c r="M100" s="29" t="str">
        <f t="shared" si="8"/>
        <v>238829520 -&gt; 5990070#1 | t=500 | 24/07/2026 20:55</v>
      </c>
      <c r="N100" s="1" t="str">
        <f t="shared" si="9"/>
        <v>3 min 19 s</v>
      </c>
      <c r="O100" s="6">
        <f t="shared" si="10"/>
        <v>27.381599999999999</v>
      </c>
      <c r="P100" s="23">
        <f t="shared" si="11"/>
        <v>1.5060519999999999</v>
      </c>
      <c r="Q100" s="4">
        <f t="shared" si="12"/>
        <v>2.3032407407407407E-3</v>
      </c>
      <c r="R100" s="1" t="str">
        <f t="shared" si="13"/>
        <v/>
      </c>
      <c r="S100" s="7" t="str">
        <f t="shared" si="14"/>
        <v/>
      </c>
      <c r="T100" s="1" t="str">
        <f t="shared" si="15"/>
        <v>Referencia</v>
      </c>
    </row>
    <row r="101" spans="1:20" x14ac:dyDescent="0.3">
      <c r="A101" s="9" t="s">
        <v>13</v>
      </c>
      <c r="B101" s="9" t="s">
        <v>22</v>
      </c>
      <c r="C101" s="9" t="s">
        <v>24</v>
      </c>
      <c r="D101" s="9">
        <v>500</v>
      </c>
      <c r="E101" s="9">
        <v>626</v>
      </c>
      <c r="F101" s="9">
        <v>126</v>
      </c>
      <c r="G101" s="9">
        <v>0</v>
      </c>
      <c r="H101" s="9">
        <v>12.083</v>
      </c>
      <c r="I101" s="9">
        <v>1510.42</v>
      </c>
      <c r="J101" s="9">
        <v>2</v>
      </c>
      <c r="K101" s="9" t="b">
        <v>1</v>
      </c>
      <c r="L101" s="10">
        <v>46227.871527777781</v>
      </c>
      <c r="M101" s="29" t="str">
        <f t="shared" si="8"/>
        <v>238829520 -&gt; 5990070#1 | t=500 | 24/07/2026 20:55</v>
      </c>
      <c r="N101" s="1" t="str">
        <f t="shared" si="9"/>
        <v>2 min 06 s</v>
      </c>
      <c r="O101" s="6">
        <f t="shared" si="10"/>
        <v>43.498800000000003</v>
      </c>
      <c r="P101" s="23">
        <f t="shared" si="11"/>
        <v>1.5104200000000001</v>
      </c>
      <c r="Q101" s="4">
        <f t="shared" si="12"/>
        <v>2.3032407407407407E-3</v>
      </c>
      <c r="R101" s="1" t="str">
        <f t="shared" si="13"/>
        <v>1 min 13 s</v>
      </c>
      <c r="S101" s="7">
        <f t="shared" si="14"/>
        <v>0.36683417085427134</v>
      </c>
      <c r="T101" s="1" t="str">
        <f t="shared" si="15"/>
        <v>Mejora</v>
      </c>
    </row>
    <row r="102" spans="1:20" x14ac:dyDescent="0.3">
      <c r="A102" s="9" t="s">
        <v>12</v>
      </c>
      <c r="B102" s="9" t="s">
        <v>22</v>
      </c>
      <c r="C102" s="9" t="s">
        <v>24</v>
      </c>
      <c r="D102" s="9">
        <v>500</v>
      </c>
      <c r="E102" s="9">
        <v>699</v>
      </c>
      <c r="F102" s="9">
        <v>199</v>
      </c>
      <c r="G102" s="9">
        <v>0</v>
      </c>
      <c r="H102" s="9">
        <v>7.6120000000000001</v>
      </c>
      <c r="I102" s="9">
        <v>1507.144</v>
      </c>
      <c r="J102" s="9">
        <v>0</v>
      </c>
      <c r="K102" s="9" t="b">
        <v>1</v>
      </c>
      <c r="L102" s="10">
        <v>46229.510416666664</v>
      </c>
      <c r="M102" s="29" t="str">
        <f t="shared" si="8"/>
        <v>238829520 -&gt; 5990070#1 | t=500 | 26/07/2026 12:15</v>
      </c>
      <c r="N102" s="1" t="str">
        <f t="shared" si="9"/>
        <v>3 min 19 s</v>
      </c>
      <c r="O102" s="6">
        <f t="shared" si="10"/>
        <v>27.403200000000002</v>
      </c>
      <c r="P102" s="23">
        <f t="shared" si="11"/>
        <v>1.507144</v>
      </c>
      <c r="Q102" s="4">
        <f t="shared" si="12"/>
        <v>2.3032407407407407E-3</v>
      </c>
      <c r="R102" s="1" t="str">
        <f t="shared" si="13"/>
        <v/>
      </c>
      <c r="S102" s="7" t="str">
        <f t="shared" si="14"/>
        <v/>
      </c>
      <c r="T102" s="1" t="str">
        <f t="shared" si="15"/>
        <v>Referencia</v>
      </c>
    </row>
    <row r="103" spans="1:20" x14ac:dyDescent="0.3">
      <c r="A103" s="9" t="s">
        <v>13</v>
      </c>
      <c r="B103" s="9" t="s">
        <v>22</v>
      </c>
      <c r="C103" s="9" t="s">
        <v>24</v>
      </c>
      <c r="D103" s="9">
        <v>500</v>
      </c>
      <c r="E103" s="9">
        <v>630</v>
      </c>
      <c r="F103" s="9">
        <v>130</v>
      </c>
      <c r="G103" s="9">
        <v>0</v>
      </c>
      <c r="H103" s="9">
        <v>11.702999999999999</v>
      </c>
      <c r="I103" s="9">
        <v>1509.739</v>
      </c>
      <c r="J103" s="9">
        <v>1</v>
      </c>
      <c r="K103" s="9" t="b">
        <v>1</v>
      </c>
      <c r="L103" s="10">
        <v>46229.513888888891</v>
      </c>
      <c r="M103" s="29" t="str">
        <f t="shared" si="8"/>
        <v>238829520 -&gt; 5990070#1 | t=500 | 26/07/2026 12:20</v>
      </c>
      <c r="N103" s="1" t="str">
        <f t="shared" si="9"/>
        <v>2 min 10 s</v>
      </c>
      <c r="O103" s="6">
        <f t="shared" si="10"/>
        <v>42.130800000000001</v>
      </c>
      <c r="P103" s="23">
        <f t="shared" si="11"/>
        <v>1.5097389999999999</v>
      </c>
      <c r="Q103" s="4">
        <f t="shared" si="12"/>
        <v>2.3032407407407407E-3</v>
      </c>
      <c r="R103" s="1" t="str">
        <f t="shared" si="13"/>
        <v>1 min 09 s</v>
      </c>
      <c r="S103" s="7">
        <f t="shared" si="14"/>
        <v>0.34673366834170855</v>
      </c>
      <c r="T103" s="1" t="str">
        <f t="shared" si="15"/>
        <v>Mejora</v>
      </c>
    </row>
    <row r="104" spans="1:20" x14ac:dyDescent="0.3">
      <c r="A104" s="9" t="s">
        <v>12</v>
      </c>
      <c r="B104" s="9" t="s">
        <v>22</v>
      </c>
      <c r="C104" s="9" t="s">
        <v>24</v>
      </c>
      <c r="D104" s="9">
        <v>500</v>
      </c>
      <c r="E104" s="9">
        <v>699</v>
      </c>
      <c r="F104" s="9">
        <v>199</v>
      </c>
      <c r="G104" s="9">
        <v>0</v>
      </c>
      <c r="H104" s="9">
        <v>7.625</v>
      </c>
      <c r="I104" s="9">
        <v>1509.704</v>
      </c>
      <c r="J104" s="9">
        <v>0</v>
      </c>
      <c r="K104" s="9" t="b">
        <v>1</v>
      </c>
      <c r="L104" s="10">
        <v>46229.513888888891</v>
      </c>
      <c r="M104" s="29" t="str">
        <f t="shared" si="8"/>
        <v>238829520 -&gt; 5990070#1 | t=500 | 26/07/2026 12:20</v>
      </c>
      <c r="N104" s="1" t="str">
        <f t="shared" si="9"/>
        <v>3 min 19 s</v>
      </c>
      <c r="O104" s="6">
        <f t="shared" si="10"/>
        <v>27.45</v>
      </c>
      <c r="P104" s="23">
        <f t="shared" si="11"/>
        <v>1.5097039999999999</v>
      </c>
      <c r="Q104" s="4">
        <f t="shared" si="12"/>
        <v>2.3032407407407407E-3</v>
      </c>
      <c r="R104" s="1" t="str">
        <f t="shared" si="13"/>
        <v/>
      </c>
      <c r="S104" s="7" t="str">
        <f t="shared" si="14"/>
        <v/>
      </c>
      <c r="T104" s="1" t="str">
        <f t="shared" si="15"/>
        <v>Referencia</v>
      </c>
    </row>
    <row r="105" spans="1:20" x14ac:dyDescent="0.3">
      <c r="A105" s="9" t="s">
        <v>13</v>
      </c>
      <c r="B105" s="9" t="s">
        <v>22</v>
      </c>
      <c r="C105" s="9" t="s">
        <v>24</v>
      </c>
      <c r="D105" s="9">
        <v>500</v>
      </c>
      <c r="E105" s="9">
        <v>630</v>
      </c>
      <c r="F105" s="9">
        <v>130</v>
      </c>
      <c r="G105" s="9">
        <v>0</v>
      </c>
      <c r="H105" s="9">
        <v>11.702999999999999</v>
      </c>
      <c r="I105" s="9">
        <v>1509.739</v>
      </c>
      <c r="J105" s="9">
        <v>1</v>
      </c>
      <c r="K105" s="9" t="b">
        <v>1</v>
      </c>
      <c r="L105" s="10">
        <v>46229.513888888891</v>
      </c>
      <c r="M105" s="29" t="str">
        <f t="shared" si="8"/>
        <v>238829520 -&gt; 5990070#1 | t=500 | 26/07/2026 12:20</v>
      </c>
      <c r="N105" s="1" t="str">
        <f t="shared" si="9"/>
        <v>2 min 10 s</v>
      </c>
      <c r="O105" s="6">
        <f t="shared" si="10"/>
        <v>42.130800000000001</v>
      </c>
      <c r="P105" s="23">
        <f t="shared" si="11"/>
        <v>1.5097389999999999</v>
      </c>
      <c r="Q105" s="4">
        <f t="shared" si="12"/>
        <v>2.3032407407407407E-3</v>
      </c>
      <c r="R105" s="1" t="str">
        <f t="shared" si="13"/>
        <v>1 min 09 s</v>
      </c>
      <c r="S105" s="7">
        <f t="shared" si="14"/>
        <v>0.34673366834170855</v>
      </c>
      <c r="T105" s="1" t="str">
        <f t="shared" si="15"/>
        <v>Mejora</v>
      </c>
    </row>
    <row r="106" spans="1:20" x14ac:dyDescent="0.3">
      <c r="A106" s="9" t="s">
        <v>12</v>
      </c>
      <c r="B106" s="9" t="s">
        <v>22</v>
      </c>
      <c r="C106" s="9" t="s">
        <v>24</v>
      </c>
      <c r="D106" s="9">
        <v>500</v>
      </c>
      <c r="E106" s="9">
        <v>699</v>
      </c>
      <c r="F106" s="9">
        <v>199</v>
      </c>
      <c r="G106" s="9">
        <v>0</v>
      </c>
      <c r="H106" s="9">
        <v>7.6150000000000002</v>
      </c>
      <c r="I106" s="9">
        <v>1507.806</v>
      </c>
      <c r="J106" s="9">
        <v>0</v>
      </c>
      <c r="K106" s="9" t="b">
        <v>1</v>
      </c>
      <c r="L106" s="10">
        <v>46229.53125</v>
      </c>
      <c r="M106" s="29" t="str">
        <f t="shared" si="8"/>
        <v>238829520 -&gt; 5990070#1 | t=500 | 26/07/2026 12:45</v>
      </c>
      <c r="N106" s="1" t="str">
        <f t="shared" si="9"/>
        <v>3 min 19 s</v>
      </c>
      <c r="O106" s="6">
        <f t="shared" si="10"/>
        <v>27.414000000000001</v>
      </c>
      <c r="P106" s="23">
        <f t="shared" si="11"/>
        <v>1.507806</v>
      </c>
      <c r="Q106" s="4">
        <f t="shared" si="12"/>
        <v>2.3032407407407407E-3</v>
      </c>
      <c r="R106" s="1" t="str">
        <f t="shared" si="13"/>
        <v/>
      </c>
      <c r="S106" s="7" t="str">
        <f t="shared" si="14"/>
        <v/>
      </c>
      <c r="T106" s="1" t="str">
        <f t="shared" si="15"/>
        <v>Referencia</v>
      </c>
    </row>
    <row r="107" spans="1:20" x14ac:dyDescent="0.3">
      <c r="A107" s="9" t="s">
        <v>13</v>
      </c>
      <c r="B107" s="9" t="s">
        <v>22</v>
      </c>
      <c r="C107" s="9" t="s">
        <v>24</v>
      </c>
      <c r="D107" s="9">
        <v>500</v>
      </c>
      <c r="E107" s="9">
        <v>629</v>
      </c>
      <c r="F107" s="9">
        <v>129</v>
      </c>
      <c r="G107" s="9">
        <v>0</v>
      </c>
      <c r="H107" s="9">
        <v>11.775</v>
      </c>
      <c r="I107" s="9">
        <v>1507.2190000000001</v>
      </c>
      <c r="J107" s="9">
        <v>1</v>
      </c>
      <c r="K107" s="9" t="b">
        <v>1</v>
      </c>
      <c r="L107" s="10">
        <v>46229.53125</v>
      </c>
      <c r="M107" s="29" t="str">
        <f t="shared" si="8"/>
        <v>238829520 -&gt; 5990070#1 | t=500 | 26/07/2026 12:45</v>
      </c>
      <c r="N107" s="1" t="str">
        <f t="shared" si="9"/>
        <v>2 min 09 s</v>
      </c>
      <c r="O107" s="6">
        <f t="shared" si="10"/>
        <v>42.39</v>
      </c>
      <c r="P107" s="23">
        <f t="shared" si="11"/>
        <v>1.5072190000000001</v>
      </c>
      <c r="Q107" s="4">
        <f t="shared" si="12"/>
        <v>2.3032407407407407E-3</v>
      </c>
      <c r="R107" s="1" t="str">
        <f t="shared" si="13"/>
        <v>1 min 10 s</v>
      </c>
      <c r="S107" s="7">
        <f t="shared" si="14"/>
        <v>0.35175879396984921</v>
      </c>
      <c r="T107" s="1" t="str">
        <f t="shared" si="15"/>
        <v>Mejora</v>
      </c>
    </row>
    <row r="108" spans="1:20" x14ac:dyDescent="0.3">
      <c r="A108" s="9" t="s">
        <v>12</v>
      </c>
      <c r="B108" s="9" t="s">
        <v>22</v>
      </c>
      <c r="C108" s="9" t="s">
        <v>24</v>
      </c>
      <c r="D108" s="9">
        <v>500</v>
      </c>
      <c r="E108" s="9">
        <v>699</v>
      </c>
      <c r="F108" s="9">
        <v>199</v>
      </c>
      <c r="G108" s="9">
        <v>0</v>
      </c>
      <c r="H108" s="9">
        <v>7.5670000000000002</v>
      </c>
      <c r="I108" s="9">
        <v>1498.2049999999999</v>
      </c>
      <c r="J108" s="9">
        <v>0</v>
      </c>
      <c r="K108" s="9" t="b">
        <v>1</v>
      </c>
      <c r="L108" s="10">
        <v>46229.534722222219</v>
      </c>
      <c r="M108" s="29" t="str">
        <f t="shared" si="8"/>
        <v>238829520 -&gt; 5990070#1 | t=500 | 26/07/2026 12:50</v>
      </c>
      <c r="N108" s="1" t="str">
        <f t="shared" si="9"/>
        <v>3 min 19 s</v>
      </c>
      <c r="O108" s="6">
        <f t="shared" si="10"/>
        <v>27.241200000000003</v>
      </c>
      <c r="P108" s="23">
        <f t="shared" si="11"/>
        <v>1.498205</v>
      </c>
      <c r="Q108" s="4">
        <f t="shared" si="12"/>
        <v>2.3032407407407407E-3</v>
      </c>
      <c r="R108" s="1" t="str">
        <f t="shared" si="13"/>
        <v/>
      </c>
      <c r="S108" s="7" t="str">
        <f t="shared" si="14"/>
        <v/>
      </c>
      <c r="T108" s="1" t="str">
        <f t="shared" si="15"/>
        <v>Referencia</v>
      </c>
    </row>
    <row r="109" spans="1:20" x14ac:dyDescent="0.3">
      <c r="A109" s="9" t="s">
        <v>13</v>
      </c>
      <c r="B109" s="9" t="s">
        <v>22</v>
      </c>
      <c r="C109" s="9" t="s">
        <v>24</v>
      </c>
      <c r="D109" s="9">
        <v>500</v>
      </c>
      <c r="E109" s="9">
        <v>637</v>
      </c>
      <c r="F109" s="9">
        <v>137</v>
      </c>
      <c r="G109" s="9">
        <v>0</v>
      </c>
      <c r="H109" s="9">
        <v>11.097</v>
      </c>
      <c r="I109" s="9">
        <v>1509.251</v>
      </c>
      <c r="J109" s="9">
        <v>1</v>
      </c>
      <c r="K109" s="9" t="b">
        <v>1</v>
      </c>
      <c r="L109" s="10">
        <v>46229.534722222219</v>
      </c>
      <c r="M109" s="29" t="str">
        <f t="shared" si="8"/>
        <v>238829520 -&gt; 5990070#1 | t=500 | 26/07/2026 12:50</v>
      </c>
      <c r="N109" s="1" t="str">
        <f t="shared" si="9"/>
        <v>2 min 17 s</v>
      </c>
      <c r="O109" s="6">
        <f t="shared" si="10"/>
        <v>39.949199999999998</v>
      </c>
      <c r="P109" s="23">
        <f t="shared" si="11"/>
        <v>1.5092509999999999</v>
      </c>
      <c r="Q109" s="4">
        <f t="shared" si="12"/>
        <v>2.3032407407407407E-3</v>
      </c>
      <c r="R109" s="1" t="str">
        <f t="shared" si="13"/>
        <v>1 min 02 s</v>
      </c>
      <c r="S109" s="7">
        <f t="shared" si="14"/>
        <v>0.31155778894472363</v>
      </c>
      <c r="T109" s="1" t="str">
        <f t="shared" si="15"/>
        <v>Mejora</v>
      </c>
    </row>
    <row r="110" spans="1:20" x14ac:dyDescent="0.3">
      <c r="A110" s="9" t="s">
        <v>12</v>
      </c>
      <c r="B110" s="9" t="s">
        <v>22</v>
      </c>
      <c r="C110" s="9" t="s">
        <v>47</v>
      </c>
      <c r="D110" s="9">
        <v>500</v>
      </c>
      <c r="E110" s="9">
        <v>833</v>
      </c>
      <c r="F110" s="9">
        <v>333</v>
      </c>
      <c r="G110" s="9">
        <v>0</v>
      </c>
      <c r="H110" s="9">
        <v>6.14</v>
      </c>
      <c r="I110" s="9">
        <v>2038.587</v>
      </c>
      <c r="J110" s="9">
        <v>0</v>
      </c>
      <c r="K110" s="9" t="b">
        <v>1</v>
      </c>
      <c r="L110" s="10">
        <v>46229.538194444445</v>
      </c>
      <c r="M110" s="29" t="str">
        <f t="shared" si="8"/>
        <v>238829520 -&gt; 5990532 | t=500 | 26/07/2026 12:55</v>
      </c>
      <c r="N110" s="1" t="str">
        <f t="shared" si="9"/>
        <v>5 min 33 s</v>
      </c>
      <c r="O110" s="6">
        <f t="shared" si="10"/>
        <v>22.103999999999999</v>
      </c>
      <c r="P110" s="23">
        <f t="shared" si="11"/>
        <v>2.0385870000000001</v>
      </c>
      <c r="Q110" s="4">
        <f t="shared" si="12"/>
        <v>3.8541666666666668E-3</v>
      </c>
      <c r="R110" s="1" t="str">
        <f t="shared" si="13"/>
        <v/>
      </c>
      <c r="S110" s="7" t="str">
        <f t="shared" si="14"/>
        <v/>
      </c>
      <c r="T110" s="1" t="str">
        <f t="shared" si="15"/>
        <v>Referencia</v>
      </c>
    </row>
    <row r="111" spans="1:20" x14ac:dyDescent="0.3">
      <c r="A111" s="9" t="s">
        <v>13</v>
      </c>
      <c r="B111" s="9" t="s">
        <v>22</v>
      </c>
      <c r="C111" s="9" t="s">
        <v>47</v>
      </c>
      <c r="D111" s="9">
        <v>500</v>
      </c>
      <c r="E111" s="9">
        <v>824</v>
      </c>
      <c r="F111" s="9">
        <v>324</v>
      </c>
      <c r="G111" s="9">
        <v>0</v>
      </c>
      <c r="H111" s="9">
        <v>6.28</v>
      </c>
      <c r="I111" s="9">
        <v>2028.567</v>
      </c>
      <c r="J111" s="9">
        <v>5</v>
      </c>
      <c r="K111" s="9" t="b">
        <v>1</v>
      </c>
      <c r="L111" s="10">
        <v>46229.538194444445</v>
      </c>
      <c r="M111" s="29" t="str">
        <f t="shared" si="8"/>
        <v>238829520 -&gt; 5990532 | t=500 | 26/07/2026 12:55</v>
      </c>
      <c r="N111" s="1" t="str">
        <f t="shared" si="9"/>
        <v>5 min 24 s</v>
      </c>
      <c r="O111" s="6">
        <f t="shared" si="10"/>
        <v>22.608000000000001</v>
      </c>
      <c r="P111" s="23">
        <f t="shared" si="11"/>
        <v>2.0285669999999998</v>
      </c>
      <c r="Q111" s="4">
        <f t="shared" si="12"/>
        <v>3.8541666666666668E-3</v>
      </c>
      <c r="R111" s="1" t="str">
        <f t="shared" si="13"/>
        <v>0 min 09 s</v>
      </c>
      <c r="S111" s="7">
        <f t="shared" si="14"/>
        <v>2.7027027027027088E-2</v>
      </c>
      <c r="T111" s="1" t="str">
        <f t="shared" si="15"/>
        <v>Mejora</v>
      </c>
    </row>
    <row r="112" spans="1:20" x14ac:dyDescent="0.3">
      <c r="A112" s="9" t="s">
        <v>12</v>
      </c>
      <c r="B112" s="9" t="s">
        <v>22</v>
      </c>
      <c r="C112" s="9" t="s">
        <v>47</v>
      </c>
      <c r="D112" s="9">
        <v>500</v>
      </c>
      <c r="E112" s="9">
        <v>692</v>
      </c>
      <c r="F112" s="9">
        <v>192</v>
      </c>
      <c r="G112" s="9">
        <v>0</v>
      </c>
      <c r="H112" s="9">
        <v>10.624000000000001</v>
      </c>
      <c r="I112" s="9">
        <v>2029.146</v>
      </c>
      <c r="J112" s="9">
        <v>0</v>
      </c>
      <c r="K112" s="9" t="b">
        <v>1</v>
      </c>
      <c r="L112" s="10">
        <v>46229.767361111109</v>
      </c>
      <c r="M112" s="29" t="str">
        <f t="shared" si="8"/>
        <v>238829520 -&gt; 5990532 | t=500 | 26/07/2026 18:25</v>
      </c>
      <c r="N112" s="1" t="str">
        <f t="shared" si="9"/>
        <v>3 min 12 s</v>
      </c>
      <c r="O112" s="6">
        <f t="shared" si="10"/>
        <v>38.246400000000001</v>
      </c>
      <c r="P112" s="23">
        <f t="shared" si="11"/>
        <v>2.0291459999999999</v>
      </c>
      <c r="Q112" s="4">
        <f t="shared" si="12"/>
        <v>2.6909722222222222E-3</v>
      </c>
      <c r="R112" s="1" t="str">
        <f t="shared" si="13"/>
        <v/>
      </c>
      <c r="S112" s="7" t="str">
        <f t="shared" si="14"/>
        <v/>
      </c>
      <c r="T112" s="1" t="str">
        <f t="shared" si="15"/>
        <v>Referencia</v>
      </c>
    </row>
    <row r="113" spans="1:20" x14ac:dyDescent="0.3">
      <c r="A113" s="9" t="s">
        <v>13</v>
      </c>
      <c r="B113" s="9" t="s">
        <v>22</v>
      </c>
      <c r="C113" s="9" t="s">
        <v>47</v>
      </c>
      <c r="D113" s="9">
        <v>500</v>
      </c>
      <c r="E113" s="9">
        <v>668</v>
      </c>
      <c r="F113" s="9">
        <v>168</v>
      </c>
      <c r="G113" s="9">
        <v>0</v>
      </c>
      <c r="H113" s="9">
        <v>12.154</v>
      </c>
      <c r="I113" s="9">
        <v>2029.7919999999999</v>
      </c>
      <c r="J113" s="9">
        <v>2</v>
      </c>
      <c r="K113" s="9" t="b">
        <v>1</v>
      </c>
      <c r="L113" s="10">
        <v>46229.767361111109</v>
      </c>
      <c r="M113" s="29" t="str">
        <f t="shared" si="8"/>
        <v>238829520 -&gt; 5990532 | t=500 | 26/07/2026 18:25</v>
      </c>
      <c r="N113" s="1" t="str">
        <f t="shared" si="9"/>
        <v>2 min 48 s</v>
      </c>
      <c r="O113" s="6">
        <f t="shared" si="10"/>
        <v>43.754400000000004</v>
      </c>
      <c r="P113" s="23">
        <f t="shared" si="11"/>
        <v>2.029792</v>
      </c>
      <c r="Q113" s="4">
        <f t="shared" si="12"/>
        <v>2.6909722222222222E-3</v>
      </c>
      <c r="R113" s="1" t="str">
        <f t="shared" si="13"/>
        <v>1 min 05 s</v>
      </c>
      <c r="S113" s="7">
        <f t="shared" si="14"/>
        <v>0.27741935483870972</v>
      </c>
      <c r="T113" s="1" t="str">
        <f t="shared" si="15"/>
        <v>Mejora</v>
      </c>
    </row>
    <row r="114" spans="1:20" x14ac:dyDescent="0.3">
      <c r="A114" s="9" t="s">
        <v>12</v>
      </c>
      <c r="B114" s="9" t="s">
        <v>22</v>
      </c>
      <c r="C114" s="9" t="s">
        <v>47</v>
      </c>
      <c r="D114" s="9">
        <v>500</v>
      </c>
      <c r="E114" s="9">
        <v>773</v>
      </c>
      <c r="F114" s="9">
        <v>273</v>
      </c>
      <c r="G114" s="9">
        <v>0</v>
      </c>
      <c r="H114" s="9">
        <v>7.5</v>
      </c>
      <c r="I114" s="9">
        <v>2040.09</v>
      </c>
      <c r="J114" s="9">
        <v>0</v>
      </c>
      <c r="K114" s="9" t="b">
        <v>1</v>
      </c>
      <c r="L114" s="10">
        <v>46229.767361111109</v>
      </c>
      <c r="M114" s="29" t="str">
        <f t="shared" si="8"/>
        <v>238829520 -&gt; 5990532 | t=500 | 26/07/2026 18:25</v>
      </c>
      <c r="N114" s="1" t="str">
        <f t="shared" si="9"/>
        <v>4 min 33 s</v>
      </c>
      <c r="O114" s="6">
        <f t="shared" si="10"/>
        <v>27</v>
      </c>
      <c r="P114" s="23">
        <f t="shared" si="11"/>
        <v>2.0400899999999997</v>
      </c>
      <c r="Q114" s="4">
        <f t="shared" si="12"/>
        <v>2.6909722222222222E-3</v>
      </c>
      <c r="R114" s="1" t="str">
        <f t="shared" si="13"/>
        <v/>
      </c>
      <c r="S114" s="7" t="str">
        <f t="shared" si="14"/>
        <v/>
      </c>
      <c r="T114" s="1" t="str">
        <f t="shared" si="15"/>
        <v>Referencia</v>
      </c>
    </row>
    <row r="115" spans="1:20" x14ac:dyDescent="0.3">
      <c r="A115" s="9" t="s">
        <v>13</v>
      </c>
      <c r="B115" s="9" t="s">
        <v>22</v>
      </c>
      <c r="C115" s="9" t="s">
        <v>47</v>
      </c>
      <c r="D115" s="9">
        <v>500</v>
      </c>
      <c r="E115" s="9">
        <v>696</v>
      </c>
      <c r="F115" s="9">
        <v>196</v>
      </c>
      <c r="G115" s="9">
        <v>0</v>
      </c>
      <c r="H115" s="9">
        <v>10.416</v>
      </c>
      <c r="I115" s="9">
        <v>2031.1880000000001</v>
      </c>
      <c r="J115" s="9">
        <v>4</v>
      </c>
      <c r="K115" s="9" t="b">
        <v>1</v>
      </c>
      <c r="L115" s="10">
        <v>46229.767361111109</v>
      </c>
      <c r="M115" s="29" t="str">
        <f t="shared" si="8"/>
        <v>238829520 -&gt; 5990532 | t=500 | 26/07/2026 18:25</v>
      </c>
      <c r="N115" s="1" t="str">
        <f t="shared" si="9"/>
        <v>3 min 16 s</v>
      </c>
      <c r="O115" s="6">
        <f t="shared" si="10"/>
        <v>37.497600000000006</v>
      </c>
      <c r="P115" s="23">
        <f t="shared" si="11"/>
        <v>2.0311880000000002</v>
      </c>
      <c r="Q115" s="4">
        <f t="shared" si="12"/>
        <v>2.6909722222222222E-3</v>
      </c>
      <c r="R115" s="1" t="str">
        <f t="shared" si="13"/>
        <v>0 min 37 s</v>
      </c>
      <c r="S115" s="7">
        <f t="shared" si="14"/>
        <v>0.1569892473118279</v>
      </c>
      <c r="T115" s="1" t="str">
        <f t="shared" si="15"/>
        <v>Mejora</v>
      </c>
    </row>
    <row r="116" spans="1:20" x14ac:dyDescent="0.3">
      <c r="A116" s="9" t="s">
        <v>12</v>
      </c>
      <c r="B116" s="9" t="s">
        <v>22</v>
      </c>
      <c r="C116" s="9" t="s">
        <v>47</v>
      </c>
      <c r="D116" s="9">
        <v>500</v>
      </c>
      <c r="E116" s="9">
        <v>720</v>
      </c>
      <c r="F116" s="9">
        <v>220</v>
      </c>
      <c r="G116" s="9">
        <v>0</v>
      </c>
      <c r="H116" s="9">
        <v>9.2639999999999993</v>
      </c>
      <c r="I116" s="9">
        <v>2028.915</v>
      </c>
      <c r="J116" s="9">
        <v>0</v>
      </c>
      <c r="K116" s="9" t="b">
        <v>1</v>
      </c>
      <c r="L116" s="10">
        <v>46230.739583333336</v>
      </c>
      <c r="M116" s="29" t="str">
        <f t="shared" si="8"/>
        <v>238829520 -&gt; 5990532 | t=500 | 27/07/2026 17:45</v>
      </c>
      <c r="N116" s="1" t="str">
        <f t="shared" si="9"/>
        <v>3 min 40 s</v>
      </c>
      <c r="O116" s="6">
        <f t="shared" si="10"/>
        <v>33.3504</v>
      </c>
      <c r="P116" s="23">
        <f t="shared" si="11"/>
        <v>2.028915</v>
      </c>
      <c r="Q116" s="4">
        <f t="shared" si="12"/>
        <v>2.5462962962962965E-3</v>
      </c>
      <c r="R116" s="1" t="str">
        <f t="shared" si="13"/>
        <v/>
      </c>
      <c r="S116" s="7" t="str">
        <f t="shared" si="14"/>
        <v/>
      </c>
      <c r="T116" s="1" t="str">
        <f t="shared" si="15"/>
        <v>Referencia</v>
      </c>
    </row>
    <row r="117" spans="1:20" x14ac:dyDescent="0.3">
      <c r="A117" s="9" t="s">
        <v>13</v>
      </c>
      <c r="B117" s="9" t="s">
        <v>22</v>
      </c>
      <c r="C117" s="9" t="s">
        <v>47</v>
      </c>
      <c r="D117" s="9">
        <v>500</v>
      </c>
      <c r="E117" s="9">
        <v>658</v>
      </c>
      <c r="F117" s="9">
        <v>158</v>
      </c>
      <c r="G117" s="9">
        <v>0</v>
      </c>
      <c r="H117" s="9">
        <v>12.951000000000001</v>
      </c>
      <c r="I117" s="9">
        <v>2033.3489999999999</v>
      </c>
      <c r="J117" s="9">
        <v>4</v>
      </c>
      <c r="K117" s="9" t="b">
        <v>1</v>
      </c>
      <c r="L117" s="10">
        <v>46230.743055555555</v>
      </c>
      <c r="M117" s="29" t="str">
        <f t="shared" si="8"/>
        <v>238829520 -&gt; 5990532 | t=500 | 27/07/2026 17:50</v>
      </c>
      <c r="N117" s="1" t="str">
        <f t="shared" si="9"/>
        <v>2 min 38 s</v>
      </c>
      <c r="O117" s="6">
        <f t="shared" si="10"/>
        <v>46.623600000000003</v>
      </c>
      <c r="P117" s="23">
        <f t="shared" si="11"/>
        <v>2.0333489999999999</v>
      </c>
      <c r="Q117" s="4">
        <f t="shared" si="12"/>
        <v>2.1990740740740742E-3</v>
      </c>
      <c r="R117" s="1" t="str">
        <f t="shared" si="13"/>
        <v>0 min 32 s</v>
      </c>
      <c r="S117" s="7">
        <f t="shared" si="14"/>
        <v>0.168421052631579</v>
      </c>
      <c r="T117" s="1" t="str">
        <f t="shared" si="15"/>
        <v>Mejora</v>
      </c>
    </row>
    <row r="118" spans="1:20" x14ac:dyDescent="0.3">
      <c r="A118" s="9" t="s">
        <v>12</v>
      </c>
      <c r="B118" s="9" t="s">
        <v>22</v>
      </c>
      <c r="C118" s="9" t="s">
        <v>47</v>
      </c>
      <c r="D118" s="9">
        <v>700</v>
      </c>
      <c r="E118" s="9">
        <v>972</v>
      </c>
      <c r="F118" s="9">
        <v>272</v>
      </c>
      <c r="G118" s="9">
        <v>0</v>
      </c>
      <c r="H118" s="9">
        <v>7.53</v>
      </c>
      <c r="I118" s="9">
        <v>2040.501</v>
      </c>
      <c r="J118" s="9">
        <v>0</v>
      </c>
      <c r="K118" s="9" t="b">
        <v>1</v>
      </c>
      <c r="L118" s="10">
        <v>46230.743055555555</v>
      </c>
      <c r="M118" s="29" t="str">
        <f t="shared" si="8"/>
        <v>238829520 -&gt; 5990532 | t=700 | 27/07/2026 17:50</v>
      </c>
      <c r="N118" s="1" t="str">
        <f t="shared" si="9"/>
        <v>4 min 32 s</v>
      </c>
      <c r="O118" s="6">
        <f t="shared" si="10"/>
        <v>27.108000000000001</v>
      </c>
      <c r="P118" s="23">
        <f t="shared" si="11"/>
        <v>2.0405009999999999</v>
      </c>
      <c r="Q118" s="4">
        <f t="shared" si="12"/>
        <v>3.1481481481481482E-3</v>
      </c>
      <c r="R118" s="1" t="str">
        <f t="shared" si="13"/>
        <v/>
      </c>
      <c r="S118" s="7" t="str">
        <f t="shared" si="14"/>
        <v/>
      </c>
      <c r="T118" s="1" t="str">
        <f t="shared" si="15"/>
        <v>Referencia</v>
      </c>
    </row>
    <row r="119" spans="1:20" x14ac:dyDescent="0.3">
      <c r="A119" s="9" t="s">
        <v>13</v>
      </c>
      <c r="B119" s="9" t="s">
        <v>22</v>
      </c>
      <c r="C119" s="9" t="s">
        <v>47</v>
      </c>
      <c r="D119" s="9">
        <v>700</v>
      </c>
      <c r="E119" s="9">
        <v>979</v>
      </c>
      <c r="F119" s="9">
        <v>279</v>
      </c>
      <c r="G119" s="9">
        <v>0</v>
      </c>
      <c r="H119" s="9">
        <v>7.3369999999999997</v>
      </c>
      <c r="I119" s="9">
        <v>2039.5940000000001</v>
      </c>
      <c r="J119" s="9">
        <v>2</v>
      </c>
      <c r="K119" s="9" t="b">
        <v>1</v>
      </c>
      <c r="L119" s="10">
        <v>46230.743055555555</v>
      </c>
      <c r="M119" s="29" t="str">
        <f t="shared" si="8"/>
        <v>238829520 -&gt; 5990532 | t=700 | 27/07/2026 17:50</v>
      </c>
      <c r="N119" s="1" t="str">
        <f t="shared" si="9"/>
        <v>4 min 39 s</v>
      </c>
      <c r="O119" s="6">
        <f t="shared" si="10"/>
        <v>26.4132</v>
      </c>
      <c r="P119" s="23">
        <f t="shared" si="11"/>
        <v>2.0395940000000001</v>
      </c>
      <c r="Q119" s="4">
        <f t="shared" si="12"/>
        <v>3.1481481481481482E-3</v>
      </c>
      <c r="R119" s="1" t="str">
        <f t="shared" si="13"/>
        <v>-0 min 07 s</v>
      </c>
      <c r="S119" s="7">
        <f t="shared" si="14"/>
        <v>-2.573529411764704E-2</v>
      </c>
      <c r="T119" s="1" t="str">
        <f t="shared" si="15"/>
        <v>Empeora</v>
      </c>
    </row>
    <row r="120" spans="1:20" x14ac:dyDescent="0.3">
      <c r="A120" s="9" t="s">
        <v>12</v>
      </c>
      <c r="B120" s="9" t="s">
        <v>22</v>
      </c>
      <c r="C120" s="9" t="s">
        <v>47</v>
      </c>
      <c r="D120" s="9">
        <v>500</v>
      </c>
      <c r="E120" s="9">
        <v>690</v>
      </c>
      <c r="F120" s="9">
        <v>190</v>
      </c>
      <c r="G120" s="9">
        <v>0</v>
      </c>
      <c r="H120" s="9">
        <v>10.750999999999999</v>
      </c>
      <c r="I120" s="9">
        <v>2031.91</v>
      </c>
      <c r="J120" s="9">
        <v>0</v>
      </c>
      <c r="K120" s="9" t="b">
        <v>1</v>
      </c>
      <c r="L120" s="10">
        <v>46230.743055555555</v>
      </c>
      <c r="M120" s="29" t="str">
        <f t="shared" si="8"/>
        <v>238829520 -&gt; 5990532 | t=500 | 27/07/2026 17:50</v>
      </c>
      <c r="N120" s="1" t="str">
        <f t="shared" si="9"/>
        <v>3 min 10 s</v>
      </c>
      <c r="O120" s="6">
        <f t="shared" si="10"/>
        <v>38.703600000000002</v>
      </c>
      <c r="P120" s="23">
        <f t="shared" si="11"/>
        <v>2.0319099999999999</v>
      </c>
      <c r="Q120" s="4">
        <f t="shared" si="12"/>
        <v>2.1990740740740742E-3</v>
      </c>
      <c r="R120" s="1" t="str">
        <f t="shared" si="13"/>
        <v/>
      </c>
      <c r="S120" s="7" t="str">
        <f t="shared" si="14"/>
        <v/>
      </c>
      <c r="T120" s="1" t="str">
        <f t="shared" si="15"/>
        <v>Referencia</v>
      </c>
    </row>
    <row r="121" spans="1:20" x14ac:dyDescent="0.3">
      <c r="A121" s="9" t="s">
        <v>13</v>
      </c>
      <c r="B121" s="9" t="s">
        <v>22</v>
      </c>
      <c r="C121" s="9" t="s">
        <v>47</v>
      </c>
      <c r="D121" s="9">
        <v>500</v>
      </c>
      <c r="E121" s="9">
        <v>658</v>
      </c>
      <c r="F121" s="9">
        <v>158</v>
      </c>
      <c r="G121" s="9">
        <v>0</v>
      </c>
      <c r="H121" s="9">
        <v>12.951000000000001</v>
      </c>
      <c r="I121" s="9">
        <v>2033.3489999999999</v>
      </c>
      <c r="J121" s="9">
        <v>4</v>
      </c>
      <c r="K121" s="9" t="b">
        <v>1</v>
      </c>
      <c r="L121" s="10">
        <v>46230.743055555555</v>
      </c>
      <c r="M121" s="29" t="str">
        <f t="shared" si="8"/>
        <v>238829520 -&gt; 5990532 | t=500 | 27/07/2026 17:50</v>
      </c>
      <c r="N121" s="1" t="str">
        <f t="shared" si="9"/>
        <v>2 min 38 s</v>
      </c>
      <c r="O121" s="6">
        <f t="shared" si="10"/>
        <v>46.623600000000003</v>
      </c>
      <c r="P121" s="23">
        <f t="shared" si="11"/>
        <v>2.0333489999999999</v>
      </c>
      <c r="Q121" s="4">
        <f t="shared" si="12"/>
        <v>2.1990740740740742E-3</v>
      </c>
      <c r="R121" s="1" t="str">
        <f t="shared" si="13"/>
        <v>0 min 32 s</v>
      </c>
      <c r="S121" s="7">
        <f t="shared" si="14"/>
        <v>0.168421052631579</v>
      </c>
      <c r="T121" s="1" t="str">
        <f t="shared" si="15"/>
        <v>Mejora</v>
      </c>
    </row>
    <row r="122" spans="1:20" x14ac:dyDescent="0.3">
      <c r="A122" s="9" t="s">
        <v>12</v>
      </c>
      <c r="B122" s="9" t="s">
        <v>22</v>
      </c>
      <c r="C122" s="9" t="s">
        <v>47</v>
      </c>
      <c r="D122" s="9">
        <v>2000</v>
      </c>
      <c r="E122" s="9">
        <v>2401</v>
      </c>
      <c r="F122" s="9">
        <v>401</v>
      </c>
      <c r="G122" s="9">
        <v>0</v>
      </c>
      <c r="H122" s="9">
        <v>5.0780000000000003</v>
      </c>
      <c r="I122" s="9">
        <v>2031.1669999999999</v>
      </c>
      <c r="J122" s="9">
        <v>0</v>
      </c>
      <c r="K122" s="9" t="b">
        <v>1</v>
      </c>
      <c r="L122" s="10">
        <v>46230.753472222219</v>
      </c>
      <c r="M122" s="29" t="str">
        <f t="shared" si="8"/>
        <v>238829520 -&gt; 5990532 | t=2000 | 27/07/2026 18:05</v>
      </c>
      <c r="N122" s="1" t="str">
        <f t="shared" si="9"/>
        <v>6 min 41 s</v>
      </c>
      <c r="O122" s="6">
        <f t="shared" si="10"/>
        <v>18.280800000000003</v>
      </c>
      <c r="P122" s="23">
        <f t="shared" si="11"/>
        <v>2.0311669999999999</v>
      </c>
      <c r="Q122" s="4">
        <f t="shared" si="12"/>
        <v>4.6412037037037038E-3</v>
      </c>
      <c r="R122" s="1" t="str">
        <f t="shared" si="13"/>
        <v/>
      </c>
      <c r="S122" s="7" t="str">
        <f t="shared" si="14"/>
        <v/>
      </c>
      <c r="T122" s="1" t="str">
        <f t="shared" si="15"/>
        <v>Referencia</v>
      </c>
    </row>
    <row r="123" spans="1:20" x14ac:dyDescent="0.3">
      <c r="A123" s="9" t="s">
        <v>13</v>
      </c>
      <c r="B123" s="9" t="s">
        <v>22</v>
      </c>
      <c r="C123" s="9" t="s">
        <v>47</v>
      </c>
      <c r="D123" s="9">
        <v>2000</v>
      </c>
      <c r="E123" s="9">
        <v>2344</v>
      </c>
      <c r="F123" s="9">
        <v>344</v>
      </c>
      <c r="G123" s="9">
        <v>0</v>
      </c>
      <c r="H123" s="9">
        <v>5.9180000000000001</v>
      </c>
      <c r="I123" s="9">
        <v>2029.93</v>
      </c>
      <c r="J123" s="9">
        <v>4</v>
      </c>
      <c r="K123" s="9" t="b">
        <v>1</v>
      </c>
      <c r="L123" s="10">
        <v>46230.753472222219</v>
      </c>
      <c r="M123" s="29" t="str">
        <f t="shared" si="8"/>
        <v>238829520 -&gt; 5990532 | t=2000 | 27/07/2026 18:05</v>
      </c>
      <c r="N123" s="1" t="str">
        <f t="shared" si="9"/>
        <v>5 min 44 s</v>
      </c>
      <c r="O123" s="6">
        <f t="shared" si="10"/>
        <v>21.3048</v>
      </c>
      <c r="P123" s="23">
        <f t="shared" si="11"/>
        <v>2.0299300000000002</v>
      </c>
      <c r="Q123" s="4">
        <f t="shared" si="12"/>
        <v>4.6412037037037038E-3</v>
      </c>
      <c r="R123" s="1" t="str">
        <f t="shared" si="13"/>
        <v>0 min 57 s</v>
      </c>
      <c r="S123" s="7">
        <f t="shared" si="14"/>
        <v>0.14214463840399</v>
      </c>
      <c r="T123" s="1" t="str">
        <f t="shared" si="15"/>
        <v>Mejora</v>
      </c>
    </row>
    <row r="124" spans="1:20" x14ac:dyDescent="0.3">
      <c r="A124" s="9" t="s">
        <v>12</v>
      </c>
      <c r="B124" s="9" t="s">
        <v>22</v>
      </c>
      <c r="C124" s="9" t="s">
        <v>47</v>
      </c>
      <c r="D124" s="9">
        <v>1500</v>
      </c>
      <c r="E124" s="9">
        <v>2131</v>
      </c>
      <c r="F124" s="9">
        <v>631</v>
      </c>
      <c r="G124" s="9">
        <v>0</v>
      </c>
      <c r="H124" s="9">
        <v>3.2349999999999999</v>
      </c>
      <c r="I124" s="9">
        <v>2038.13</v>
      </c>
      <c r="J124" s="9">
        <v>0</v>
      </c>
      <c r="K124" s="9" t="b">
        <v>1</v>
      </c>
      <c r="L124" s="10">
        <v>46230.753472222219</v>
      </c>
      <c r="M124" s="29" t="str">
        <f t="shared" si="8"/>
        <v>238829520 -&gt; 5990532 | t=1500 | 27/07/2026 18:05</v>
      </c>
      <c r="N124" s="1" t="str">
        <f t="shared" si="9"/>
        <v>10 min 31 s</v>
      </c>
      <c r="O124" s="6">
        <f t="shared" si="10"/>
        <v>11.645999999999999</v>
      </c>
      <c r="P124" s="23">
        <f t="shared" si="11"/>
        <v>2.0381300000000002</v>
      </c>
      <c r="Q124" s="4">
        <f t="shared" si="12"/>
        <v>7.3032407407407404E-3</v>
      </c>
      <c r="R124" s="1" t="str">
        <f t="shared" si="13"/>
        <v/>
      </c>
      <c r="S124" s="7" t="str">
        <f t="shared" si="14"/>
        <v/>
      </c>
      <c r="T124" s="1" t="str">
        <f t="shared" si="15"/>
        <v>Referencia</v>
      </c>
    </row>
    <row r="125" spans="1:20" x14ac:dyDescent="0.3">
      <c r="A125" s="9" t="s">
        <v>13</v>
      </c>
      <c r="B125" s="9" t="s">
        <v>22</v>
      </c>
      <c r="C125" s="9" t="s">
        <v>47</v>
      </c>
      <c r="D125" s="9">
        <v>1500</v>
      </c>
      <c r="E125" s="9">
        <v>2089</v>
      </c>
      <c r="F125" s="9">
        <v>589</v>
      </c>
      <c r="G125" s="9">
        <v>0</v>
      </c>
      <c r="H125" s="9">
        <v>3.47</v>
      </c>
      <c r="I125" s="9">
        <v>2040.356</v>
      </c>
      <c r="J125" s="9">
        <v>6</v>
      </c>
      <c r="K125" s="9" t="b">
        <v>1</v>
      </c>
      <c r="L125" s="10">
        <v>46230.753472222219</v>
      </c>
      <c r="M125" s="29" t="str">
        <f t="shared" si="8"/>
        <v>238829520 -&gt; 5990532 | t=1500 | 27/07/2026 18:05</v>
      </c>
      <c r="N125" s="1" t="str">
        <f t="shared" si="9"/>
        <v>9 min 49 s</v>
      </c>
      <c r="O125" s="6">
        <f t="shared" si="10"/>
        <v>12.492000000000001</v>
      </c>
      <c r="P125" s="23">
        <f t="shared" si="11"/>
        <v>2.0403560000000001</v>
      </c>
      <c r="Q125" s="4">
        <f t="shared" si="12"/>
        <v>7.3032407407407404E-3</v>
      </c>
      <c r="R125" s="1" t="str">
        <f t="shared" si="13"/>
        <v>0 min 42 s</v>
      </c>
      <c r="S125" s="7">
        <f t="shared" si="14"/>
        <v>6.6561014263074439E-2</v>
      </c>
      <c r="T125" s="1" t="str">
        <f t="shared" si="15"/>
        <v>Mejora</v>
      </c>
    </row>
    <row r="126" spans="1:20" x14ac:dyDescent="0.3">
      <c r="A126" s="9" t="s">
        <v>12</v>
      </c>
      <c r="B126" s="9" t="s">
        <v>22</v>
      </c>
      <c r="C126" s="9" t="s">
        <v>47</v>
      </c>
      <c r="D126" s="9">
        <v>500</v>
      </c>
      <c r="E126" s="9">
        <v>742</v>
      </c>
      <c r="F126" s="9">
        <v>242</v>
      </c>
      <c r="G126" s="9">
        <v>0</v>
      </c>
      <c r="H126" s="9">
        <v>8.4529999999999994</v>
      </c>
      <c r="I126" s="9">
        <v>2037.2809999999999</v>
      </c>
      <c r="J126" s="9">
        <v>0</v>
      </c>
      <c r="K126" s="9" t="b">
        <v>1</v>
      </c>
      <c r="L126" s="10">
        <v>46230.760416666664</v>
      </c>
      <c r="M126" s="29" t="str">
        <f t="shared" si="8"/>
        <v>238829520 -&gt; 5990532 | t=500 | 27/07/2026 18:15</v>
      </c>
      <c r="N126" s="1" t="str">
        <f t="shared" si="9"/>
        <v>4 min 02 s</v>
      </c>
      <c r="O126" s="6">
        <f t="shared" si="10"/>
        <v>30.430799999999998</v>
      </c>
      <c r="P126" s="23">
        <f t="shared" si="11"/>
        <v>2.0372810000000001</v>
      </c>
      <c r="Q126" s="4">
        <f t="shared" si="12"/>
        <v>2.8009259259259259E-3</v>
      </c>
      <c r="R126" s="1" t="str">
        <f t="shared" si="13"/>
        <v/>
      </c>
      <c r="S126" s="7" t="str">
        <f t="shared" si="14"/>
        <v/>
      </c>
      <c r="T126" s="1" t="str">
        <f t="shared" si="15"/>
        <v>Referencia</v>
      </c>
    </row>
    <row r="127" spans="1:20" x14ac:dyDescent="0.3">
      <c r="A127" s="9" t="s">
        <v>13</v>
      </c>
      <c r="B127" s="9" t="s">
        <v>22</v>
      </c>
      <c r="C127" s="9" t="s">
        <v>47</v>
      </c>
      <c r="D127" s="9">
        <v>500</v>
      </c>
      <c r="E127" s="9">
        <v>709</v>
      </c>
      <c r="F127" s="9">
        <v>209</v>
      </c>
      <c r="G127" s="9">
        <v>0</v>
      </c>
      <c r="H127" s="9">
        <v>9.7949999999999999</v>
      </c>
      <c r="I127" s="9">
        <v>2037.348</v>
      </c>
      <c r="J127" s="9">
        <v>4</v>
      </c>
      <c r="K127" s="9" t="b">
        <v>1</v>
      </c>
      <c r="L127" s="10">
        <v>46230.760416666664</v>
      </c>
      <c r="M127" s="29" t="str">
        <f t="shared" si="8"/>
        <v>238829520 -&gt; 5990532 | t=500 | 27/07/2026 18:15</v>
      </c>
      <c r="N127" s="1" t="str">
        <f t="shared" si="9"/>
        <v>3 min 29 s</v>
      </c>
      <c r="O127" s="6">
        <f t="shared" si="10"/>
        <v>35.262</v>
      </c>
      <c r="P127" s="23">
        <f t="shared" si="11"/>
        <v>2.0373480000000002</v>
      </c>
      <c r="Q127" s="4">
        <f t="shared" si="12"/>
        <v>2.8009259259259259E-3</v>
      </c>
      <c r="R127" s="1" t="str">
        <f t="shared" si="13"/>
        <v>0 min 33 s</v>
      </c>
      <c r="S127" s="7">
        <f t="shared" si="14"/>
        <v>0.13636363636363633</v>
      </c>
      <c r="T127" s="1" t="str">
        <f t="shared" si="15"/>
        <v>Mejora</v>
      </c>
    </row>
    <row r="128" spans="1:20" x14ac:dyDescent="0.3">
      <c r="A128" s="9" t="s">
        <v>12</v>
      </c>
      <c r="B128" s="9" t="s">
        <v>22</v>
      </c>
      <c r="C128" s="9" t="s">
        <v>47</v>
      </c>
      <c r="D128" s="9">
        <v>500</v>
      </c>
      <c r="E128" s="9">
        <v>788</v>
      </c>
      <c r="F128" s="9">
        <v>288</v>
      </c>
      <c r="G128" s="9">
        <v>0</v>
      </c>
      <c r="H128" s="9">
        <v>7.0869999999999997</v>
      </c>
      <c r="I128" s="9">
        <v>2034.0940000000001</v>
      </c>
      <c r="J128" s="9">
        <v>0</v>
      </c>
      <c r="K128" s="9" t="b">
        <v>1</v>
      </c>
      <c r="L128" s="10">
        <v>46230.770833333336</v>
      </c>
      <c r="M128" s="29" t="str">
        <f t="shared" si="8"/>
        <v>238829520 -&gt; 5990532 | t=500 | 27/07/2026 18:30</v>
      </c>
      <c r="N128" s="1" t="str">
        <f t="shared" si="9"/>
        <v>4 min 48 s</v>
      </c>
      <c r="O128" s="6">
        <f t="shared" si="10"/>
        <v>25.513200000000001</v>
      </c>
      <c r="P128" s="23">
        <f t="shared" si="11"/>
        <v>2.0340940000000001</v>
      </c>
      <c r="Q128" s="4">
        <f t="shared" si="12"/>
        <v>3.3333333333333335E-3</v>
      </c>
      <c r="R128" s="1" t="str">
        <f t="shared" si="13"/>
        <v/>
      </c>
      <c r="S128" s="7" t="str">
        <f t="shared" si="14"/>
        <v/>
      </c>
      <c r="T128" s="1" t="str">
        <f t="shared" si="15"/>
        <v>Referencia</v>
      </c>
    </row>
    <row r="129" spans="1:20" x14ac:dyDescent="0.3">
      <c r="A129" s="9" t="s">
        <v>13</v>
      </c>
      <c r="B129" s="9" t="s">
        <v>22</v>
      </c>
      <c r="C129" s="9" t="s">
        <v>47</v>
      </c>
      <c r="D129" s="9">
        <v>500</v>
      </c>
      <c r="E129" s="9">
        <v>708</v>
      </c>
      <c r="F129" s="9">
        <v>208</v>
      </c>
      <c r="G129" s="9">
        <v>0</v>
      </c>
      <c r="H129" s="9">
        <v>9.8209999999999997</v>
      </c>
      <c r="I129" s="9">
        <v>2032.895</v>
      </c>
      <c r="J129" s="9">
        <v>4</v>
      </c>
      <c r="K129" s="9" t="b">
        <v>1</v>
      </c>
      <c r="L129" s="10">
        <v>46230.770833333336</v>
      </c>
      <c r="M129" s="29" t="str">
        <f t="shared" si="8"/>
        <v>238829520 -&gt; 5990532 | t=500 | 27/07/2026 18:30</v>
      </c>
      <c r="N129" s="1" t="str">
        <f t="shared" si="9"/>
        <v>3 min 28 s</v>
      </c>
      <c r="O129" s="6">
        <f t="shared" si="10"/>
        <v>35.355600000000003</v>
      </c>
      <c r="P129" s="23">
        <f t="shared" si="11"/>
        <v>2.0328949999999999</v>
      </c>
      <c r="Q129" s="4">
        <f t="shared" si="12"/>
        <v>3.3333333333333335E-3</v>
      </c>
      <c r="R129" s="1" t="str">
        <f t="shared" si="13"/>
        <v>1 min 20 s</v>
      </c>
      <c r="S129" s="7">
        <f t="shared" si="14"/>
        <v>0.27777777777777779</v>
      </c>
      <c r="T129" s="1" t="str">
        <f t="shared" si="15"/>
        <v>Mejora</v>
      </c>
    </row>
    <row r="130" spans="1:20" x14ac:dyDescent="0.3">
      <c r="A130" s="9" t="s">
        <v>12</v>
      </c>
      <c r="B130" s="9" t="s">
        <v>22</v>
      </c>
      <c r="C130" s="9" t="s">
        <v>24</v>
      </c>
      <c r="D130" s="9">
        <v>500</v>
      </c>
      <c r="E130" s="9">
        <v>700</v>
      </c>
      <c r="F130" s="9">
        <v>200</v>
      </c>
      <c r="G130" s="9">
        <v>0</v>
      </c>
      <c r="H130" s="9">
        <v>7.5910000000000002</v>
      </c>
      <c r="I130" s="9">
        <v>1510.5150000000001</v>
      </c>
      <c r="J130" s="9">
        <v>0</v>
      </c>
      <c r="K130" s="9" t="b">
        <v>1</v>
      </c>
      <c r="L130" s="10">
        <v>46230.774305555555</v>
      </c>
      <c r="M130" s="29" t="str">
        <f t="shared" ref="M130:M193" si="16">B130&amp;" -&gt; "&amp;C130&amp;" | t="&amp;D130&amp;" | "&amp;TEXT(L130,"dd/mm/aaaa hh:mm")</f>
        <v>238829520 -&gt; 5990070#1 | t=500 | 27/07/2026 18:35</v>
      </c>
      <c r="N130" s="1" t="str">
        <f t="shared" ref="N130:N193" si="17">IF(F130="","",INT(F130/60)&amp;" min "&amp;TEXT(MOD(F130,60),"00")&amp;" s")</f>
        <v>3 min 20 s</v>
      </c>
      <c r="O130" s="6">
        <f t="shared" ref="O130:O193" si="18">IF(H130="","",H130*3.6)</f>
        <v>27.3276</v>
      </c>
      <c r="P130" s="23">
        <f t="shared" ref="P130:P193" si="19">IF(I130="","",I130/1000)</f>
        <v>1.5105150000000001</v>
      </c>
      <c r="Q130" s="4">
        <f t="shared" ref="Q130:Q193" si="20">IFERROR(AVERAGEIFS($F:$F,$A:$A,"base",$B:$B,B130,$C:$C,C130,$D:$D,D130,$K:$K,TRUE,$L:$L,L130)/86400,"")</f>
        <v>2.3148148148148147E-3</v>
      </c>
      <c r="R130" s="1" t="str">
        <f t="shared" ref="R130:R193" si="21">IF(OR(A130&lt;&gt;"inteligente",K130&lt;&gt;TRUE,Q130=""),"",IF(Q130-F130/86400&lt;0,"-","")&amp;INT(ABS(Q130-F130/86400)*1440)&amp;" min "&amp;TEXT(MOD(ABS(Q130-F130/86400)*86400,60),"00")&amp;" s")</f>
        <v/>
      </c>
      <c r="S130" s="7" t="str">
        <f t="shared" ref="S130:S193" si="22">IF(OR(A130&lt;&gt;"inteligente",K130&lt;&gt;TRUE,Q130=""),"",(Q130-F130/86400)/Q130)</f>
        <v/>
      </c>
      <c r="T130" s="1" t="str">
        <f t="shared" ref="T130:T193" si="23">IF(K130&lt;&gt;TRUE,"No llega",IF(A130="base","Referencia",IF(S130="","Sin referencia",IF(S130&gt;0,"Mejora",IF(S130&lt;0,"Empeora","Igual")))))</f>
        <v>Referencia</v>
      </c>
    </row>
    <row r="131" spans="1:20" x14ac:dyDescent="0.3">
      <c r="A131" s="9" t="s">
        <v>13</v>
      </c>
      <c r="B131" s="9" t="s">
        <v>22</v>
      </c>
      <c r="C131" s="9" t="s">
        <v>24</v>
      </c>
      <c r="D131" s="9">
        <v>500</v>
      </c>
      <c r="E131" s="9">
        <v>635</v>
      </c>
      <c r="F131" s="9">
        <v>135</v>
      </c>
      <c r="G131" s="9">
        <v>0</v>
      </c>
      <c r="H131" s="9">
        <v>11.260999999999999</v>
      </c>
      <c r="I131" s="9">
        <v>1508.999</v>
      </c>
      <c r="J131" s="9">
        <v>1</v>
      </c>
      <c r="K131" s="9" t="b">
        <v>1</v>
      </c>
      <c r="L131" s="10">
        <v>46230.774305555555</v>
      </c>
      <c r="M131" s="29" t="str">
        <f t="shared" si="16"/>
        <v>238829520 -&gt; 5990070#1 | t=500 | 27/07/2026 18:35</v>
      </c>
      <c r="N131" s="1" t="str">
        <f t="shared" si="17"/>
        <v>2 min 15 s</v>
      </c>
      <c r="O131" s="6">
        <f t="shared" si="18"/>
        <v>40.5396</v>
      </c>
      <c r="P131" s="23">
        <f t="shared" si="19"/>
        <v>1.508999</v>
      </c>
      <c r="Q131" s="4">
        <f t="shared" si="20"/>
        <v>2.3148148148148147E-3</v>
      </c>
      <c r="R131" s="1" t="str">
        <f t="shared" si="21"/>
        <v>1 min 05 s</v>
      </c>
      <c r="S131" s="7">
        <f t="shared" si="22"/>
        <v>0.3249999999999999</v>
      </c>
      <c r="T131" s="1" t="str">
        <f t="shared" si="23"/>
        <v>Mejora</v>
      </c>
    </row>
    <row r="132" spans="1:20" x14ac:dyDescent="0.3">
      <c r="A132" s="9" t="s">
        <v>12</v>
      </c>
      <c r="B132" s="9" t="s">
        <v>22</v>
      </c>
      <c r="C132" s="9" t="s">
        <v>23</v>
      </c>
      <c r="D132" s="9">
        <v>500</v>
      </c>
      <c r="E132" s="9">
        <v>671</v>
      </c>
      <c r="F132" s="9">
        <v>171</v>
      </c>
      <c r="G132" s="9">
        <v>0</v>
      </c>
      <c r="H132" s="9">
        <v>10.811999999999999</v>
      </c>
      <c r="I132" s="9">
        <v>1837.99</v>
      </c>
      <c r="J132" s="9">
        <v>0</v>
      </c>
      <c r="K132" s="9" t="b">
        <v>1</v>
      </c>
      <c r="L132" s="10">
        <v>46230.774305555555</v>
      </c>
      <c r="M132" s="29" t="str">
        <f t="shared" si="16"/>
        <v>238829520 -&gt; 5989317 | t=500 | 27/07/2026 18:35</v>
      </c>
      <c r="N132" s="1" t="str">
        <f t="shared" si="17"/>
        <v>2 min 51 s</v>
      </c>
      <c r="O132" s="6">
        <f t="shared" si="18"/>
        <v>38.923200000000001</v>
      </c>
      <c r="P132" s="23">
        <f t="shared" si="19"/>
        <v>1.83799</v>
      </c>
      <c r="Q132" s="4">
        <f t="shared" si="20"/>
        <v>1.9791666666666668E-3</v>
      </c>
      <c r="R132" s="1" t="str">
        <f t="shared" si="21"/>
        <v/>
      </c>
      <c r="S132" s="7" t="str">
        <f t="shared" si="22"/>
        <v/>
      </c>
      <c r="T132" s="1" t="str">
        <f t="shared" si="23"/>
        <v>Referencia</v>
      </c>
    </row>
    <row r="133" spans="1:20" x14ac:dyDescent="0.3">
      <c r="A133" s="9" t="s">
        <v>13</v>
      </c>
      <c r="B133" s="9" t="s">
        <v>22</v>
      </c>
      <c r="C133" s="9" t="s">
        <v>23</v>
      </c>
      <c r="D133" s="9">
        <v>500</v>
      </c>
      <c r="E133" s="9">
        <v>985</v>
      </c>
      <c r="F133" s="9">
        <v>485</v>
      </c>
      <c r="G133" s="9">
        <v>0</v>
      </c>
      <c r="H133" s="9">
        <v>3.8140000000000001</v>
      </c>
      <c r="I133" s="9">
        <v>1845.9680000000001</v>
      </c>
      <c r="J133" s="9">
        <v>4</v>
      </c>
      <c r="K133" s="9" t="b">
        <v>1</v>
      </c>
      <c r="L133" s="10">
        <v>46230.777777777781</v>
      </c>
      <c r="M133" s="29" t="str">
        <f t="shared" si="16"/>
        <v>238829520 -&gt; 5989317 | t=500 | 27/07/2026 18:40</v>
      </c>
      <c r="N133" s="1" t="str">
        <f t="shared" si="17"/>
        <v>8 min 05 s</v>
      </c>
      <c r="O133" s="6">
        <f t="shared" si="18"/>
        <v>13.730400000000001</v>
      </c>
      <c r="P133" s="23">
        <f t="shared" si="19"/>
        <v>1.8459680000000001</v>
      </c>
      <c r="Q133" s="4" t="str">
        <f t="shared" si="20"/>
        <v/>
      </c>
      <c r="R133" s="1" t="str">
        <f t="shared" si="21"/>
        <v/>
      </c>
      <c r="S133" s="7" t="str">
        <f t="shared" si="22"/>
        <v/>
      </c>
      <c r="T133" s="1" t="str">
        <f t="shared" si="23"/>
        <v>Sin referencia</v>
      </c>
    </row>
    <row r="134" spans="1:20" x14ac:dyDescent="0.3">
      <c r="A134" s="9" t="s">
        <v>12</v>
      </c>
      <c r="B134" s="9" t="s">
        <v>22</v>
      </c>
      <c r="C134" s="9" t="s">
        <v>23</v>
      </c>
      <c r="D134" s="9">
        <v>500</v>
      </c>
      <c r="E134" s="9">
        <v>672</v>
      </c>
      <c r="F134" s="9">
        <v>172</v>
      </c>
      <c r="G134" s="9">
        <v>0</v>
      </c>
      <c r="H134" s="9">
        <v>10.808999999999999</v>
      </c>
      <c r="I134" s="9">
        <v>1848.375</v>
      </c>
      <c r="J134" s="9">
        <v>0</v>
      </c>
      <c r="K134" s="9" t="b">
        <v>1</v>
      </c>
      <c r="L134" s="10">
        <v>46230.78125</v>
      </c>
      <c r="M134" s="29" t="str">
        <f t="shared" si="16"/>
        <v>238829520 -&gt; 5989317 | t=500 | 27/07/2026 18:45</v>
      </c>
      <c r="N134" s="1" t="str">
        <f t="shared" si="17"/>
        <v>2 min 52 s</v>
      </c>
      <c r="O134" s="6">
        <f t="shared" si="18"/>
        <v>38.912399999999998</v>
      </c>
      <c r="P134" s="23">
        <f t="shared" si="19"/>
        <v>1.8483750000000001</v>
      </c>
      <c r="Q134" s="4">
        <f t="shared" si="20"/>
        <v>1.9907407407407408E-3</v>
      </c>
      <c r="R134" s="1" t="str">
        <f t="shared" si="21"/>
        <v/>
      </c>
      <c r="S134" s="7" t="str">
        <f t="shared" si="22"/>
        <v/>
      </c>
      <c r="T134" s="1" t="str">
        <f t="shared" si="23"/>
        <v>Referencia</v>
      </c>
    </row>
    <row r="135" spans="1:20" x14ac:dyDescent="0.3">
      <c r="A135" s="9" t="s">
        <v>13</v>
      </c>
      <c r="B135" s="9" t="s">
        <v>22</v>
      </c>
      <c r="C135" s="9" t="s">
        <v>23</v>
      </c>
      <c r="D135" s="9">
        <v>500</v>
      </c>
      <c r="E135" s="9">
        <v>641</v>
      </c>
      <c r="F135" s="9">
        <v>141</v>
      </c>
      <c r="G135" s="9">
        <v>0</v>
      </c>
      <c r="H135" s="9">
        <v>13.12</v>
      </c>
      <c r="I135" s="9">
        <v>1836.856</v>
      </c>
      <c r="J135" s="9">
        <v>4</v>
      </c>
      <c r="K135" s="9" t="b">
        <v>1</v>
      </c>
      <c r="L135" s="10">
        <v>46230.78125</v>
      </c>
      <c r="M135" s="29" t="str">
        <f t="shared" si="16"/>
        <v>238829520 -&gt; 5989317 | t=500 | 27/07/2026 18:45</v>
      </c>
      <c r="N135" s="1" t="str">
        <f t="shared" si="17"/>
        <v>2 min 21 s</v>
      </c>
      <c r="O135" s="6">
        <f t="shared" si="18"/>
        <v>47.231999999999999</v>
      </c>
      <c r="P135" s="23">
        <f t="shared" si="19"/>
        <v>1.836856</v>
      </c>
      <c r="Q135" s="4">
        <f t="shared" si="20"/>
        <v>1.9907407407407408E-3</v>
      </c>
      <c r="R135" s="1" t="str">
        <f t="shared" si="21"/>
        <v>0 min 31 s</v>
      </c>
      <c r="S135" s="7">
        <f t="shared" si="22"/>
        <v>0.18023255813953487</v>
      </c>
      <c r="T135" s="1" t="str">
        <f t="shared" si="23"/>
        <v>Mejora</v>
      </c>
    </row>
    <row r="136" spans="1:20" x14ac:dyDescent="0.3">
      <c r="A136" s="9" t="s">
        <v>12</v>
      </c>
      <c r="B136" s="9" t="s">
        <v>22</v>
      </c>
      <c r="C136" s="9" t="s">
        <v>23</v>
      </c>
      <c r="D136" s="9">
        <v>500</v>
      </c>
      <c r="E136" s="9">
        <v>672</v>
      </c>
      <c r="F136" s="9">
        <v>172</v>
      </c>
      <c r="G136" s="9">
        <v>0</v>
      </c>
      <c r="H136" s="9">
        <v>10.815</v>
      </c>
      <c r="I136" s="9">
        <v>1849.4010000000001</v>
      </c>
      <c r="J136" s="9">
        <v>0</v>
      </c>
      <c r="K136" s="9" t="b">
        <v>1</v>
      </c>
      <c r="L136" s="10">
        <v>46230.784722222219</v>
      </c>
      <c r="M136" s="29" t="str">
        <f t="shared" si="16"/>
        <v>238829520 -&gt; 5989317 | t=500 | 27/07/2026 18:50</v>
      </c>
      <c r="N136" s="1" t="str">
        <f t="shared" si="17"/>
        <v>2 min 52 s</v>
      </c>
      <c r="O136" s="6">
        <f t="shared" si="18"/>
        <v>38.933999999999997</v>
      </c>
      <c r="P136" s="23">
        <f t="shared" si="19"/>
        <v>1.8494010000000001</v>
      </c>
      <c r="Q136" s="4">
        <f t="shared" si="20"/>
        <v>1.9907407407407408E-3</v>
      </c>
      <c r="R136" s="1" t="str">
        <f t="shared" si="21"/>
        <v/>
      </c>
      <c r="S136" s="7" t="str">
        <f t="shared" si="22"/>
        <v/>
      </c>
      <c r="T136" s="1" t="str">
        <f t="shared" si="23"/>
        <v>Referencia</v>
      </c>
    </row>
    <row r="137" spans="1:20" x14ac:dyDescent="0.3">
      <c r="A137" s="9" t="s">
        <v>13</v>
      </c>
      <c r="B137" s="9" t="s">
        <v>22</v>
      </c>
      <c r="C137" s="9" t="s">
        <v>23</v>
      </c>
      <c r="D137" s="9">
        <v>500</v>
      </c>
      <c r="E137" s="9">
        <v>641</v>
      </c>
      <c r="F137" s="9">
        <v>141</v>
      </c>
      <c r="G137" s="9">
        <v>0</v>
      </c>
      <c r="H137" s="9">
        <v>13.132999999999999</v>
      </c>
      <c r="I137" s="9">
        <v>1838.67</v>
      </c>
      <c r="J137" s="9">
        <v>4</v>
      </c>
      <c r="K137" s="9" t="b">
        <v>1</v>
      </c>
      <c r="L137" s="10">
        <v>46230.784722222219</v>
      </c>
      <c r="M137" s="29" t="str">
        <f t="shared" si="16"/>
        <v>238829520 -&gt; 5989317 | t=500 | 27/07/2026 18:50</v>
      </c>
      <c r="N137" s="1" t="str">
        <f t="shared" si="17"/>
        <v>2 min 21 s</v>
      </c>
      <c r="O137" s="6">
        <f t="shared" si="18"/>
        <v>47.278799999999997</v>
      </c>
      <c r="P137" s="23">
        <f t="shared" si="19"/>
        <v>1.83867</v>
      </c>
      <c r="Q137" s="4">
        <f t="shared" si="20"/>
        <v>1.9907407407407408E-3</v>
      </c>
      <c r="R137" s="1" t="str">
        <f t="shared" si="21"/>
        <v>0 min 31 s</v>
      </c>
      <c r="S137" s="7">
        <f t="shared" si="22"/>
        <v>0.18023255813953487</v>
      </c>
      <c r="T137" s="1" t="str">
        <f t="shared" si="23"/>
        <v>Mejora</v>
      </c>
    </row>
    <row r="138" spans="1:20" x14ac:dyDescent="0.3">
      <c r="A138" s="9" t="s">
        <v>12</v>
      </c>
      <c r="B138" s="9" t="s">
        <v>22</v>
      </c>
      <c r="C138" s="9" t="s">
        <v>48</v>
      </c>
      <c r="D138" s="9">
        <v>500</v>
      </c>
      <c r="E138" s="9">
        <v>796</v>
      </c>
      <c r="F138" s="9">
        <v>296</v>
      </c>
      <c r="G138" s="9">
        <v>0</v>
      </c>
      <c r="H138" s="9">
        <v>6.8879999999999999</v>
      </c>
      <c r="I138" s="9">
        <v>2031.9570000000001</v>
      </c>
      <c r="J138" s="9">
        <v>0</v>
      </c>
      <c r="K138" s="9" t="b">
        <v>1</v>
      </c>
      <c r="L138" s="10">
        <v>46230.788194444445</v>
      </c>
      <c r="M138" s="29" t="str">
        <f t="shared" si="16"/>
        <v>238829520 -&gt; 31262308 | t=500 | 27/07/2026 18:55</v>
      </c>
      <c r="N138" s="1" t="str">
        <f t="shared" si="17"/>
        <v>4 min 56 s</v>
      </c>
      <c r="O138" s="6">
        <f t="shared" si="18"/>
        <v>24.796800000000001</v>
      </c>
      <c r="P138" s="23">
        <f t="shared" si="19"/>
        <v>2.0319570000000002</v>
      </c>
      <c r="Q138" s="4">
        <f t="shared" si="20"/>
        <v>3.425925925925926E-3</v>
      </c>
      <c r="R138" s="1" t="str">
        <f t="shared" si="21"/>
        <v/>
      </c>
      <c r="S138" s="7" t="str">
        <f t="shared" si="22"/>
        <v/>
      </c>
      <c r="T138" s="1" t="str">
        <f t="shared" si="23"/>
        <v>Referencia</v>
      </c>
    </row>
    <row r="139" spans="1:20" x14ac:dyDescent="0.3">
      <c r="A139" s="9" t="s">
        <v>13</v>
      </c>
      <c r="B139" s="9" t="s">
        <v>22</v>
      </c>
      <c r="C139" s="9" t="s">
        <v>48</v>
      </c>
      <c r="D139" s="9">
        <v>500</v>
      </c>
      <c r="E139" s="9">
        <v>767</v>
      </c>
      <c r="F139" s="9">
        <v>267</v>
      </c>
      <c r="G139" s="9">
        <v>0</v>
      </c>
      <c r="H139" s="9">
        <v>7.6020000000000003</v>
      </c>
      <c r="I139" s="9">
        <v>2022.0630000000001</v>
      </c>
      <c r="J139" s="9">
        <v>2</v>
      </c>
      <c r="K139" s="9" t="b">
        <v>1</v>
      </c>
      <c r="L139" s="10">
        <v>46230.788194444445</v>
      </c>
      <c r="M139" s="29" t="str">
        <f t="shared" si="16"/>
        <v>238829520 -&gt; 31262308 | t=500 | 27/07/2026 18:55</v>
      </c>
      <c r="N139" s="1" t="str">
        <f t="shared" si="17"/>
        <v>4 min 27 s</v>
      </c>
      <c r="O139" s="6">
        <f t="shared" si="18"/>
        <v>27.3672</v>
      </c>
      <c r="P139" s="23">
        <f t="shared" si="19"/>
        <v>2.0220630000000002</v>
      </c>
      <c r="Q139" s="4">
        <f t="shared" si="20"/>
        <v>3.425925925925926E-3</v>
      </c>
      <c r="R139" s="1" t="str">
        <f t="shared" si="21"/>
        <v>0 min 29 s</v>
      </c>
      <c r="S139" s="7">
        <f t="shared" si="22"/>
        <v>9.7972972972973013E-2</v>
      </c>
      <c r="T139" s="1" t="str">
        <f t="shared" si="23"/>
        <v>Mejora</v>
      </c>
    </row>
    <row r="140" spans="1:20" x14ac:dyDescent="0.3">
      <c r="A140" s="9" t="s">
        <v>12</v>
      </c>
      <c r="B140" s="9" t="s">
        <v>22</v>
      </c>
      <c r="C140" s="9" t="s">
        <v>23</v>
      </c>
      <c r="D140" s="9">
        <v>500</v>
      </c>
      <c r="E140" s="9">
        <v>1048</v>
      </c>
      <c r="F140" s="9">
        <v>548</v>
      </c>
      <c r="G140" s="9">
        <v>0</v>
      </c>
      <c r="H140" s="9">
        <v>3.3719999999999999</v>
      </c>
      <c r="I140" s="9">
        <v>1844.4739999999999</v>
      </c>
      <c r="J140" s="9">
        <v>0</v>
      </c>
      <c r="K140" s="9" t="b">
        <v>1</v>
      </c>
      <c r="L140" s="10">
        <v>46231.520833333336</v>
      </c>
      <c r="M140" s="29" t="str">
        <f t="shared" si="16"/>
        <v>238829520 -&gt; 5989317 | t=500 | 28/07/2026 12:30</v>
      </c>
      <c r="N140" s="1" t="str">
        <f t="shared" si="17"/>
        <v>9 min 08 s</v>
      </c>
      <c r="O140" s="6">
        <f t="shared" si="18"/>
        <v>12.139200000000001</v>
      </c>
      <c r="P140" s="23">
        <f t="shared" si="19"/>
        <v>1.8444739999999999</v>
      </c>
      <c r="Q140" s="4">
        <f t="shared" si="20"/>
        <v>6.3425925925925924E-3</v>
      </c>
      <c r="R140" s="1" t="str">
        <f t="shared" si="21"/>
        <v/>
      </c>
      <c r="S140" s="7" t="str">
        <f t="shared" si="22"/>
        <v/>
      </c>
      <c r="T140" s="1" t="str">
        <f t="shared" si="23"/>
        <v>Referencia</v>
      </c>
    </row>
    <row r="141" spans="1:20" x14ac:dyDescent="0.3">
      <c r="A141" s="9" t="s">
        <v>13</v>
      </c>
      <c r="B141" s="9" t="s">
        <v>22</v>
      </c>
      <c r="C141" s="9" t="s">
        <v>23</v>
      </c>
      <c r="D141" s="9">
        <v>500</v>
      </c>
      <c r="E141" s="9">
        <v>1052</v>
      </c>
      <c r="F141" s="9">
        <v>552</v>
      </c>
      <c r="G141" s="9">
        <v>0</v>
      </c>
      <c r="H141" s="9">
        <v>3.35</v>
      </c>
      <c r="I141" s="9">
        <v>1846.02</v>
      </c>
      <c r="J141" s="9">
        <v>2</v>
      </c>
      <c r="K141" s="9" t="b">
        <v>1</v>
      </c>
      <c r="L141" s="10">
        <v>46231.524305555555</v>
      </c>
      <c r="M141" s="29" t="str">
        <f t="shared" si="16"/>
        <v>238829520 -&gt; 5989317 | t=500 | 28/07/2026 12:35</v>
      </c>
      <c r="N141" s="1" t="str">
        <f t="shared" si="17"/>
        <v>9 min 12 s</v>
      </c>
      <c r="O141" s="6">
        <f t="shared" si="18"/>
        <v>12.06</v>
      </c>
      <c r="P141" s="23">
        <f t="shared" si="19"/>
        <v>1.84602</v>
      </c>
      <c r="Q141" s="4">
        <f t="shared" si="20"/>
        <v>6.8171296296296296E-3</v>
      </c>
      <c r="R141" s="1" t="str">
        <f t="shared" si="21"/>
        <v>0 min 37 s</v>
      </c>
      <c r="S141" s="7">
        <f t="shared" si="22"/>
        <v>6.2818336162988056E-2</v>
      </c>
      <c r="T141" s="1" t="str">
        <f t="shared" si="23"/>
        <v>Mejora</v>
      </c>
    </row>
    <row r="142" spans="1:20" x14ac:dyDescent="0.3">
      <c r="A142" s="9" t="s">
        <v>12</v>
      </c>
      <c r="B142" s="9" t="s">
        <v>22</v>
      </c>
      <c r="C142" s="9" t="s">
        <v>23</v>
      </c>
      <c r="D142" s="9">
        <v>500</v>
      </c>
      <c r="E142" s="9">
        <v>1089</v>
      </c>
      <c r="F142" s="9">
        <v>589</v>
      </c>
      <c r="G142" s="9">
        <v>0</v>
      </c>
      <c r="H142" s="9">
        <v>3.14</v>
      </c>
      <c r="I142" s="9">
        <v>1846.5060000000001</v>
      </c>
      <c r="J142" s="9">
        <v>0</v>
      </c>
      <c r="K142" s="9" t="b">
        <v>1</v>
      </c>
      <c r="L142" s="10">
        <v>46231.524305555555</v>
      </c>
      <c r="M142" s="29" t="str">
        <f t="shared" si="16"/>
        <v>238829520 -&gt; 5989317 | t=500 | 28/07/2026 12:35</v>
      </c>
      <c r="N142" s="1" t="str">
        <f t="shared" si="17"/>
        <v>9 min 49 s</v>
      </c>
      <c r="O142" s="6">
        <f t="shared" si="18"/>
        <v>11.304</v>
      </c>
      <c r="P142" s="23">
        <f t="shared" si="19"/>
        <v>1.846506</v>
      </c>
      <c r="Q142" s="4">
        <f t="shared" si="20"/>
        <v>6.8171296296296296E-3</v>
      </c>
      <c r="R142" s="1" t="str">
        <f t="shared" si="21"/>
        <v/>
      </c>
      <c r="S142" s="7" t="str">
        <f t="shared" si="22"/>
        <v/>
      </c>
      <c r="T142" s="1" t="str">
        <f t="shared" si="23"/>
        <v>Referencia</v>
      </c>
    </row>
    <row r="143" spans="1:20" x14ac:dyDescent="0.3">
      <c r="A143" s="9" t="s">
        <v>13</v>
      </c>
      <c r="B143" s="9" t="s">
        <v>22</v>
      </c>
      <c r="C143" s="9" t="s">
        <v>23</v>
      </c>
      <c r="D143" s="9">
        <v>500</v>
      </c>
      <c r="E143" s="9">
        <v>1052</v>
      </c>
      <c r="F143" s="9">
        <v>552</v>
      </c>
      <c r="G143" s="9">
        <v>0</v>
      </c>
      <c r="H143" s="9">
        <v>3.35</v>
      </c>
      <c r="I143" s="9">
        <v>1846.02</v>
      </c>
      <c r="J143" s="9">
        <v>2</v>
      </c>
      <c r="K143" s="9" t="b">
        <v>1</v>
      </c>
      <c r="L143" s="10">
        <v>46231.524305555555</v>
      </c>
      <c r="M143" s="29" t="str">
        <f t="shared" si="16"/>
        <v>238829520 -&gt; 5989317 | t=500 | 28/07/2026 12:35</v>
      </c>
      <c r="N143" s="1" t="str">
        <f t="shared" si="17"/>
        <v>9 min 12 s</v>
      </c>
      <c r="O143" s="6">
        <f t="shared" si="18"/>
        <v>12.06</v>
      </c>
      <c r="P143" s="23">
        <f t="shared" si="19"/>
        <v>1.84602</v>
      </c>
      <c r="Q143" s="4">
        <f t="shared" si="20"/>
        <v>6.8171296296296296E-3</v>
      </c>
      <c r="R143" s="1" t="str">
        <f t="shared" si="21"/>
        <v>0 min 37 s</v>
      </c>
      <c r="S143" s="7">
        <f t="shared" si="22"/>
        <v>6.2818336162988056E-2</v>
      </c>
      <c r="T143" s="1" t="str">
        <f t="shared" si="23"/>
        <v>Mejora</v>
      </c>
    </row>
    <row r="144" spans="1:20" x14ac:dyDescent="0.3">
      <c r="A144" s="9" t="s">
        <v>12</v>
      </c>
      <c r="B144" s="9" t="s">
        <v>22</v>
      </c>
      <c r="C144" s="9" t="s">
        <v>23</v>
      </c>
      <c r="D144" s="9">
        <v>500</v>
      </c>
      <c r="E144" s="9">
        <v>992</v>
      </c>
      <c r="F144" s="9">
        <v>492</v>
      </c>
      <c r="G144" s="9">
        <v>0</v>
      </c>
      <c r="H144" s="9">
        <v>3.7589999999999999</v>
      </c>
      <c r="I144" s="9">
        <v>1845.586</v>
      </c>
      <c r="J144" s="9">
        <v>0</v>
      </c>
      <c r="K144" s="9" t="b">
        <v>1</v>
      </c>
      <c r="L144" s="10">
        <v>46231.538194444445</v>
      </c>
      <c r="M144" s="29" t="str">
        <f t="shared" si="16"/>
        <v>238829520 -&gt; 5989317 | t=500 | 28/07/2026 12:55</v>
      </c>
      <c r="N144" s="1" t="str">
        <f t="shared" si="17"/>
        <v>8 min 12 s</v>
      </c>
      <c r="O144" s="6">
        <f t="shared" si="18"/>
        <v>13.532399999999999</v>
      </c>
      <c r="P144" s="23">
        <f t="shared" si="19"/>
        <v>1.8455859999999999</v>
      </c>
      <c r="Q144" s="4">
        <f t="shared" si="20"/>
        <v>5.6944444444444447E-3</v>
      </c>
      <c r="R144" s="1" t="str">
        <f t="shared" si="21"/>
        <v/>
      </c>
      <c r="S144" s="7" t="str">
        <f t="shared" si="22"/>
        <v/>
      </c>
      <c r="T144" s="1" t="str">
        <f t="shared" si="23"/>
        <v>Referencia</v>
      </c>
    </row>
    <row r="145" spans="1:20" x14ac:dyDescent="0.3">
      <c r="A145" s="9" t="s">
        <v>13</v>
      </c>
      <c r="B145" s="9" t="s">
        <v>22</v>
      </c>
      <c r="C145" s="9" t="s">
        <v>23</v>
      </c>
      <c r="D145" s="9">
        <v>500</v>
      </c>
      <c r="E145" s="9">
        <v>989</v>
      </c>
      <c r="F145" s="9">
        <v>489</v>
      </c>
      <c r="G145" s="9">
        <v>0</v>
      </c>
      <c r="H145" s="9">
        <v>3.778</v>
      </c>
      <c r="I145" s="9">
        <v>1843.8330000000001</v>
      </c>
      <c r="J145" s="9">
        <v>3</v>
      </c>
      <c r="K145" s="9" t="b">
        <v>1</v>
      </c>
      <c r="L145" s="10">
        <v>46231.538194444445</v>
      </c>
      <c r="M145" s="29" t="str">
        <f t="shared" si="16"/>
        <v>238829520 -&gt; 5989317 | t=500 | 28/07/2026 12:55</v>
      </c>
      <c r="N145" s="1" t="str">
        <f t="shared" si="17"/>
        <v>8 min 09 s</v>
      </c>
      <c r="O145" s="6">
        <f t="shared" si="18"/>
        <v>13.6008</v>
      </c>
      <c r="P145" s="23">
        <f t="shared" si="19"/>
        <v>1.8438330000000001</v>
      </c>
      <c r="Q145" s="4">
        <f t="shared" si="20"/>
        <v>5.6944444444444447E-3</v>
      </c>
      <c r="R145" s="1" t="str">
        <f t="shared" si="21"/>
        <v>0 min 03 s</v>
      </c>
      <c r="S145" s="7">
        <f t="shared" si="22"/>
        <v>6.0975609756097953E-3</v>
      </c>
      <c r="T145" s="1" t="str">
        <f t="shared" si="23"/>
        <v>Mejora</v>
      </c>
    </row>
    <row r="146" spans="1:20" x14ac:dyDescent="0.3">
      <c r="A146" s="9" t="s">
        <v>12</v>
      </c>
      <c r="B146" s="9" t="s">
        <v>22</v>
      </c>
      <c r="C146" s="9" t="s">
        <v>24</v>
      </c>
      <c r="D146" s="9">
        <v>500</v>
      </c>
      <c r="E146" s="9">
        <v>699</v>
      </c>
      <c r="F146" s="9">
        <v>199</v>
      </c>
      <c r="G146" s="9">
        <v>0</v>
      </c>
      <c r="H146" s="9">
        <v>7.6180000000000003</v>
      </c>
      <c r="I146" s="9">
        <v>1508.4269999999999</v>
      </c>
      <c r="J146" s="9">
        <v>0</v>
      </c>
      <c r="K146" s="9" t="b">
        <v>1</v>
      </c>
      <c r="L146" s="10">
        <v>46231.545138888891</v>
      </c>
      <c r="M146" s="29" t="str">
        <f t="shared" si="16"/>
        <v>238829520 -&gt; 5990070#1 | t=500 | 28/07/2026 13:05</v>
      </c>
      <c r="N146" s="1" t="str">
        <f t="shared" si="17"/>
        <v>3 min 19 s</v>
      </c>
      <c r="O146" s="6">
        <f t="shared" si="18"/>
        <v>27.424800000000001</v>
      </c>
      <c r="P146" s="23">
        <f t="shared" si="19"/>
        <v>1.508427</v>
      </c>
      <c r="Q146" s="4">
        <f t="shared" si="20"/>
        <v>2.3032407407407407E-3</v>
      </c>
      <c r="R146" s="1" t="str">
        <f t="shared" si="21"/>
        <v/>
      </c>
      <c r="S146" s="7" t="str">
        <f t="shared" si="22"/>
        <v/>
      </c>
      <c r="T146" s="1" t="str">
        <f t="shared" si="23"/>
        <v>Referencia</v>
      </c>
    </row>
    <row r="147" spans="1:20" x14ac:dyDescent="0.3">
      <c r="A147" s="9" t="s">
        <v>13</v>
      </c>
      <c r="B147" s="9" t="s">
        <v>22</v>
      </c>
      <c r="C147" s="9" t="s">
        <v>24</v>
      </c>
      <c r="D147" s="9">
        <v>500</v>
      </c>
      <c r="E147" s="9">
        <v>647</v>
      </c>
      <c r="F147" s="9">
        <v>147</v>
      </c>
      <c r="G147" s="9">
        <v>0</v>
      </c>
      <c r="H147" s="9">
        <v>10.324999999999999</v>
      </c>
      <c r="I147" s="9">
        <v>1507.4780000000001</v>
      </c>
      <c r="J147" s="9">
        <v>2</v>
      </c>
      <c r="K147" s="9" t="b">
        <v>1</v>
      </c>
      <c r="L147" s="10">
        <v>46231.545138888891</v>
      </c>
      <c r="M147" s="29" t="str">
        <f t="shared" si="16"/>
        <v>238829520 -&gt; 5990070#1 | t=500 | 28/07/2026 13:05</v>
      </c>
      <c r="N147" s="1" t="str">
        <f t="shared" si="17"/>
        <v>2 min 27 s</v>
      </c>
      <c r="O147" s="6">
        <f t="shared" si="18"/>
        <v>37.17</v>
      </c>
      <c r="P147" s="23">
        <f t="shared" si="19"/>
        <v>1.5074780000000001</v>
      </c>
      <c r="Q147" s="4">
        <f t="shared" si="20"/>
        <v>2.3032407407407407E-3</v>
      </c>
      <c r="R147" s="1" t="str">
        <f t="shared" si="21"/>
        <v>0 min 52 s</v>
      </c>
      <c r="S147" s="7">
        <f t="shared" si="22"/>
        <v>0.2613065326633166</v>
      </c>
      <c r="T147" s="1" t="str">
        <f t="shared" si="23"/>
        <v>Mejora</v>
      </c>
    </row>
    <row r="148" spans="1:20" x14ac:dyDescent="0.3">
      <c r="A148" s="9" t="s">
        <v>12</v>
      </c>
      <c r="B148" s="9" t="s">
        <v>22</v>
      </c>
      <c r="C148" s="9" t="s">
        <v>24</v>
      </c>
      <c r="D148" s="9">
        <v>500</v>
      </c>
      <c r="E148" s="9">
        <v>700</v>
      </c>
      <c r="F148" s="9">
        <v>200</v>
      </c>
      <c r="G148" s="9">
        <v>0</v>
      </c>
      <c r="H148" s="9">
        <v>7.5720000000000001</v>
      </c>
      <c r="I148" s="9">
        <v>1506.8610000000001</v>
      </c>
      <c r="J148" s="9">
        <v>0</v>
      </c>
      <c r="K148" s="9" t="b">
        <v>1</v>
      </c>
      <c r="L148" s="10">
        <v>46231.5625</v>
      </c>
      <c r="M148" s="29" t="str">
        <f t="shared" si="16"/>
        <v>238829520 -&gt; 5990070#1 | t=500 | 28/07/2026 13:30</v>
      </c>
      <c r="N148" s="1" t="str">
        <f t="shared" si="17"/>
        <v>3 min 20 s</v>
      </c>
      <c r="O148" s="6">
        <f t="shared" si="18"/>
        <v>27.2592</v>
      </c>
      <c r="P148" s="23">
        <f t="shared" si="19"/>
        <v>1.506861</v>
      </c>
      <c r="Q148" s="4">
        <f t="shared" si="20"/>
        <v>2.3148148148148147E-3</v>
      </c>
      <c r="R148" s="1" t="str">
        <f t="shared" si="21"/>
        <v/>
      </c>
      <c r="S148" s="7" t="str">
        <f t="shared" si="22"/>
        <v/>
      </c>
      <c r="T148" s="1" t="str">
        <f t="shared" si="23"/>
        <v>Referencia</v>
      </c>
    </row>
    <row r="149" spans="1:20" x14ac:dyDescent="0.3">
      <c r="A149" s="9" t="s">
        <v>13</v>
      </c>
      <c r="B149" s="9" t="s">
        <v>22</v>
      </c>
      <c r="C149" s="9" t="s">
        <v>24</v>
      </c>
      <c r="D149" s="9">
        <v>500</v>
      </c>
      <c r="E149" s="9">
        <v>679</v>
      </c>
      <c r="F149" s="9">
        <v>179</v>
      </c>
      <c r="G149" s="9">
        <v>0</v>
      </c>
      <c r="H149" s="9">
        <v>8.4710000000000001</v>
      </c>
      <c r="I149" s="9">
        <v>1507.7750000000001</v>
      </c>
      <c r="J149" s="9">
        <v>4</v>
      </c>
      <c r="K149" s="9" t="b">
        <v>1</v>
      </c>
      <c r="L149" s="10">
        <v>46231.565972222219</v>
      </c>
      <c r="M149" s="29" t="str">
        <f t="shared" si="16"/>
        <v>238829520 -&gt; 5990070#1 | t=500 | 28/07/2026 13:35</v>
      </c>
      <c r="N149" s="1" t="str">
        <f t="shared" si="17"/>
        <v>2 min 59 s</v>
      </c>
      <c r="O149" s="6">
        <f t="shared" si="18"/>
        <v>30.4956</v>
      </c>
      <c r="P149" s="23">
        <f t="shared" si="19"/>
        <v>1.5077750000000001</v>
      </c>
      <c r="Q149" s="4" t="str">
        <f t="shared" si="20"/>
        <v/>
      </c>
      <c r="R149" s="1" t="str">
        <f t="shared" si="21"/>
        <v/>
      </c>
      <c r="S149" s="7" t="str">
        <f t="shared" si="22"/>
        <v/>
      </c>
      <c r="T149" s="1" t="str">
        <f t="shared" si="23"/>
        <v>Sin referencia</v>
      </c>
    </row>
    <row r="150" spans="1:20" x14ac:dyDescent="0.3">
      <c r="A150" s="9" t="s">
        <v>12</v>
      </c>
      <c r="B150" s="9" t="s">
        <v>22</v>
      </c>
      <c r="C150" s="9" t="s">
        <v>24</v>
      </c>
      <c r="D150" s="9">
        <v>500</v>
      </c>
      <c r="E150" s="9">
        <v>701</v>
      </c>
      <c r="F150" s="9">
        <v>201</v>
      </c>
      <c r="G150" s="9">
        <v>70</v>
      </c>
      <c r="H150" s="9">
        <v>7.532</v>
      </c>
      <c r="I150" s="9">
        <v>1506.337</v>
      </c>
      <c r="J150" s="9">
        <v>0</v>
      </c>
      <c r="K150" s="9" t="b">
        <v>1</v>
      </c>
      <c r="L150" s="10">
        <v>46231.572916666664</v>
      </c>
      <c r="M150" s="29" t="str">
        <f t="shared" si="16"/>
        <v>238829520 -&gt; 5990070#1 | t=500 | 28/07/2026 13:45</v>
      </c>
      <c r="N150" s="1" t="str">
        <f t="shared" si="17"/>
        <v>3 min 21 s</v>
      </c>
      <c r="O150" s="6">
        <f t="shared" si="18"/>
        <v>27.115200000000002</v>
      </c>
      <c r="P150" s="23">
        <f t="shared" si="19"/>
        <v>1.506337</v>
      </c>
      <c r="Q150" s="4">
        <f t="shared" si="20"/>
        <v>2.3263888888888887E-3</v>
      </c>
      <c r="R150" s="1" t="str">
        <f t="shared" si="21"/>
        <v/>
      </c>
      <c r="S150" s="7" t="str">
        <f t="shared" si="22"/>
        <v/>
      </c>
      <c r="T150" s="1" t="str">
        <f t="shared" si="23"/>
        <v>Referencia</v>
      </c>
    </row>
    <row r="151" spans="1:20" x14ac:dyDescent="0.3">
      <c r="A151" s="9" t="s">
        <v>13</v>
      </c>
      <c r="B151" s="9" t="s">
        <v>22</v>
      </c>
      <c r="C151" s="9" t="s">
        <v>24</v>
      </c>
      <c r="D151" s="9">
        <v>500</v>
      </c>
      <c r="E151" s="9">
        <v>628</v>
      </c>
      <c r="F151" s="9">
        <v>128</v>
      </c>
      <c r="G151" s="9">
        <v>1</v>
      </c>
      <c r="H151" s="9">
        <v>11.865</v>
      </c>
      <c r="I151" s="9">
        <v>1506.808</v>
      </c>
      <c r="J151" s="9">
        <v>3</v>
      </c>
      <c r="K151" s="9" t="b">
        <v>1</v>
      </c>
      <c r="L151" s="10">
        <v>46231.572916666664</v>
      </c>
      <c r="M151" s="29" t="str">
        <f t="shared" si="16"/>
        <v>238829520 -&gt; 5990070#1 | t=500 | 28/07/2026 13:45</v>
      </c>
      <c r="N151" s="1" t="str">
        <f t="shared" si="17"/>
        <v>2 min 08 s</v>
      </c>
      <c r="O151" s="6">
        <f t="shared" si="18"/>
        <v>42.713999999999999</v>
      </c>
      <c r="P151" s="23">
        <f t="shared" si="19"/>
        <v>1.5068079999999999</v>
      </c>
      <c r="Q151" s="4">
        <f t="shared" si="20"/>
        <v>2.3263888888888887E-3</v>
      </c>
      <c r="R151" s="1" t="str">
        <f t="shared" si="21"/>
        <v>1 min 13 s</v>
      </c>
      <c r="S151" s="7">
        <f t="shared" si="22"/>
        <v>0.36318407960199001</v>
      </c>
      <c r="T151" s="1" t="str">
        <f t="shared" si="23"/>
        <v>Mejora</v>
      </c>
    </row>
    <row r="152" spans="1:20" x14ac:dyDescent="0.3">
      <c r="A152" s="9" t="s">
        <v>12</v>
      </c>
      <c r="B152" s="9" t="s">
        <v>22</v>
      </c>
      <c r="C152" s="9" t="s">
        <v>24</v>
      </c>
      <c r="D152" s="9">
        <v>500</v>
      </c>
      <c r="E152" s="9">
        <v>699</v>
      </c>
      <c r="F152" s="9">
        <v>199</v>
      </c>
      <c r="G152" s="9">
        <v>37</v>
      </c>
      <c r="H152" s="9">
        <v>7.609</v>
      </c>
      <c r="I152" s="9">
        <v>1506.6120000000001</v>
      </c>
      <c r="J152" s="9">
        <v>0</v>
      </c>
      <c r="K152" s="9" t="b">
        <v>1</v>
      </c>
      <c r="L152" s="10">
        <v>46231.583333333336</v>
      </c>
      <c r="M152" s="29" t="str">
        <f t="shared" si="16"/>
        <v>238829520 -&gt; 5990070#1 | t=500 | 28/07/2026 14:00</v>
      </c>
      <c r="N152" s="1" t="str">
        <f t="shared" si="17"/>
        <v>3 min 19 s</v>
      </c>
      <c r="O152" s="6">
        <f t="shared" si="18"/>
        <v>27.392400000000002</v>
      </c>
      <c r="P152" s="23">
        <f t="shared" si="19"/>
        <v>1.5066120000000001</v>
      </c>
      <c r="Q152" s="4">
        <f t="shared" si="20"/>
        <v>2.3032407407407407E-3</v>
      </c>
      <c r="R152" s="1" t="str">
        <f t="shared" si="21"/>
        <v/>
      </c>
      <c r="S152" s="7" t="str">
        <f t="shared" si="22"/>
        <v/>
      </c>
      <c r="T152" s="1" t="str">
        <f t="shared" si="23"/>
        <v>Referencia</v>
      </c>
    </row>
    <row r="153" spans="1:20" x14ac:dyDescent="0.3">
      <c r="A153" s="9" t="s">
        <v>13</v>
      </c>
      <c r="B153" s="9" t="s">
        <v>22</v>
      </c>
      <c r="C153" s="9" t="s">
        <v>24</v>
      </c>
      <c r="D153" s="9">
        <v>500</v>
      </c>
      <c r="E153" s="9">
        <v>655</v>
      </c>
      <c r="F153" s="9">
        <v>155</v>
      </c>
      <c r="G153" s="9">
        <v>2</v>
      </c>
      <c r="H153" s="9">
        <v>9.7850000000000001</v>
      </c>
      <c r="I153" s="9">
        <v>1506.9559999999999</v>
      </c>
      <c r="J153" s="9">
        <v>5</v>
      </c>
      <c r="K153" s="9" t="b">
        <v>1</v>
      </c>
      <c r="L153" s="10">
        <v>46231.583333333336</v>
      </c>
      <c r="M153" s="29" t="str">
        <f t="shared" si="16"/>
        <v>238829520 -&gt; 5990070#1 | t=500 | 28/07/2026 14:00</v>
      </c>
      <c r="N153" s="1" t="str">
        <f t="shared" si="17"/>
        <v>2 min 35 s</v>
      </c>
      <c r="O153" s="6">
        <f t="shared" si="18"/>
        <v>35.225999999999999</v>
      </c>
      <c r="P153" s="23">
        <f t="shared" si="19"/>
        <v>1.506956</v>
      </c>
      <c r="Q153" s="4">
        <f t="shared" si="20"/>
        <v>2.3032407407407407E-3</v>
      </c>
      <c r="R153" s="1" t="str">
        <f t="shared" si="21"/>
        <v>0 min 44 s</v>
      </c>
      <c r="S153" s="7">
        <f t="shared" si="22"/>
        <v>0.22110552763819094</v>
      </c>
      <c r="T153" s="1" t="str">
        <f t="shared" si="23"/>
        <v>Mejora</v>
      </c>
    </row>
    <row r="154" spans="1:20" x14ac:dyDescent="0.3">
      <c r="A154" s="9" t="s">
        <v>12</v>
      </c>
      <c r="B154" s="9" t="s">
        <v>22</v>
      </c>
      <c r="C154" s="9" t="s">
        <v>24</v>
      </c>
      <c r="D154" s="9">
        <v>500</v>
      </c>
      <c r="E154" s="9">
        <v>3600</v>
      </c>
      <c r="F154" s="9">
        <v>3100</v>
      </c>
      <c r="G154" s="9">
        <v>2852</v>
      </c>
      <c r="H154" s="9">
        <v>0.47799999999999998</v>
      </c>
      <c r="I154" s="9">
        <v>1480.115</v>
      </c>
      <c r="J154" s="9">
        <v>0</v>
      </c>
      <c r="K154" s="9" t="b">
        <v>0</v>
      </c>
      <c r="L154" s="10">
        <v>46231.836805555555</v>
      </c>
      <c r="M154" s="29" t="str">
        <f t="shared" si="16"/>
        <v>238829520 -&gt; 5990070#1 | t=500 | 28/07/2026 20:05</v>
      </c>
      <c r="N154" s="1" t="str">
        <f t="shared" si="17"/>
        <v>51 min 40 s</v>
      </c>
      <c r="O154" s="6">
        <f t="shared" si="18"/>
        <v>1.7207999999999999</v>
      </c>
      <c r="P154" s="23">
        <f t="shared" si="19"/>
        <v>1.4801150000000001</v>
      </c>
      <c r="Q154" s="4" t="str">
        <f t="shared" si="20"/>
        <v/>
      </c>
      <c r="R154" s="1" t="str">
        <f t="shared" si="21"/>
        <v/>
      </c>
      <c r="S154" s="7" t="str">
        <f t="shared" si="22"/>
        <v/>
      </c>
      <c r="T154" s="1" t="str">
        <f t="shared" si="23"/>
        <v>No llega</v>
      </c>
    </row>
    <row r="155" spans="1:20" x14ac:dyDescent="0.3">
      <c r="A155" s="9" t="s">
        <v>13</v>
      </c>
      <c r="B155" s="9" t="s">
        <v>22</v>
      </c>
      <c r="C155" s="9" t="s">
        <v>24</v>
      </c>
      <c r="D155" s="9">
        <v>500</v>
      </c>
      <c r="E155" s="9">
        <v>1478</v>
      </c>
      <c r="F155" s="9">
        <v>978</v>
      </c>
      <c r="G155" s="9">
        <v>792</v>
      </c>
      <c r="H155" s="9">
        <v>1.5449999999999999</v>
      </c>
      <c r="I155" s="9">
        <v>1509.652</v>
      </c>
      <c r="J155" s="9">
        <v>8</v>
      </c>
      <c r="K155" s="9" t="b">
        <v>1</v>
      </c>
      <c r="L155" s="10">
        <v>46231.836805555555</v>
      </c>
      <c r="M155" s="29" t="str">
        <f t="shared" si="16"/>
        <v>238829520 -&gt; 5990070#1 | t=500 | 28/07/2026 20:05</v>
      </c>
      <c r="N155" s="1" t="str">
        <f t="shared" si="17"/>
        <v>16 min 18 s</v>
      </c>
      <c r="O155" s="6">
        <f t="shared" si="18"/>
        <v>5.5620000000000003</v>
      </c>
      <c r="P155" s="23">
        <f t="shared" si="19"/>
        <v>1.509652</v>
      </c>
      <c r="Q155" s="4" t="str">
        <f t="shared" si="20"/>
        <v/>
      </c>
      <c r="R155" s="1" t="str">
        <f t="shared" si="21"/>
        <v/>
      </c>
      <c r="S155" s="7" t="str">
        <f t="shared" si="22"/>
        <v/>
      </c>
      <c r="T155" s="1" t="str">
        <f t="shared" si="23"/>
        <v>Sin referencia</v>
      </c>
    </row>
    <row r="156" spans="1:20" x14ac:dyDescent="0.3">
      <c r="A156" s="9" t="s">
        <v>12</v>
      </c>
      <c r="B156" s="9" t="s">
        <v>22</v>
      </c>
      <c r="C156" s="9" t="s">
        <v>24</v>
      </c>
      <c r="D156" s="9">
        <v>500</v>
      </c>
      <c r="E156" s="9">
        <v>703</v>
      </c>
      <c r="F156" s="9">
        <v>203</v>
      </c>
      <c r="G156" s="9">
        <v>62</v>
      </c>
      <c r="H156" s="9">
        <v>7.4489999999999998</v>
      </c>
      <c r="I156" s="9">
        <v>1504.636</v>
      </c>
      <c r="J156" s="9">
        <v>0</v>
      </c>
      <c r="K156" s="9" t="b">
        <v>1</v>
      </c>
      <c r="L156" s="10">
        <v>46231.857638888891</v>
      </c>
      <c r="M156" s="29" t="str">
        <f t="shared" si="16"/>
        <v>238829520 -&gt; 5990070#1 | t=500 | 28/07/2026 20:35</v>
      </c>
      <c r="N156" s="1" t="str">
        <f t="shared" si="17"/>
        <v>3 min 23 s</v>
      </c>
      <c r="O156" s="6">
        <f t="shared" si="18"/>
        <v>26.816400000000002</v>
      </c>
      <c r="P156" s="23">
        <f t="shared" si="19"/>
        <v>1.5046359999999999</v>
      </c>
      <c r="Q156" s="4">
        <f t="shared" si="20"/>
        <v>2.3668981481481484E-3</v>
      </c>
      <c r="R156" s="1" t="str">
        <f t="shared" si="21"/>
        <v/>
      </c>
      <c r="S156" s="7" t="str">
        <f t="shared" si="22"/>
        <v/>
      </c>
      <c r="T156" s="1" t="str">
        <f t="shared" si="23"/>
        <v>Referencia</v>
      </c>
    </row>
    <row r="157" spans="1:20" x14ac:dyDescent="0.3">
      <c r="A157" s="9" t="s">
        <v>13</v>
      </c>
      <c r="B157" s="9" t="s">
        <v>22</v>
      </c>
      <c r="C157" s="9" t="s">
        <v>24</v>
      </c>
      <c r="D157" s="9">
        <v>500</v>
      </c>
      <c r="E157" s="9">
        <v>703</v>
      </c>
      <c r="F157" s="9">
        <v>203</v>
      </c>
      <c r="G157" s="9">
        <v>65</v>
      </c>
      <c r="H157" s="9">
        <v>7.4379999999999997</v>
      </c>
      <c r="I157" s="9">
        <v>1502.386</v>
      </c>
      <c r="J157" s="9">
        <v>1</v>
      </c>
      <c r="K157" s="9" t="b">
        <v>1</v>
      </c>
      <c r="L157" s="10">
        <v>46231.857638888891</v>
      </c>
      <c r="M157" s="29" t="str">
        <f t="shared" si="16"/>
        <v>238829520 -&gt; 5990070#1 | t=500 | 28/07/2026 20:35</v>
      </c>
      <c r="N157" s="1" t="str">
        <f t="shared" si="17"/>
        <v>3 min 23 s</v>
      </c>
      <c r="O157" s="6">
        <f t="shared" si="18"/>
        <v>26.776799999999998</v>
      </c>
      <c r="P157" s="23">
        <f t="shared" si="19"/>
        <v>1.502386</v>
      </c>
      <c r="Q157" s="4">
        <f t="shared" si="20"/>
        <v>2.3668981481481484E-3</v>
      </c>
      <c r="R157" s="1" t="str">
        <f t="shared" si="21"/>
        <v>0 min 02 s</v>
      </c>
      <c r="S157" s="7">
        <f t="shared" si="22"/>
        <v>7.3349633251834209E-3</v>
      </c>
      <c r="T157" s="1" t="str">
        <f t="shared" si="23"/>
        <v>Mejora</v>
      </c>
    </row>
    <row r="158" spans="1:20" x14ac:dyDescent="0.3">
      <c r="A158" s="9" t="s">
        <v>12</v>
      </c>
      <c r="B158" s="9" t="s">
        <v>22</v>
      </c>
      <c r="C158" s="9" t="s">
        <v>24</v>
      </c>
      <c r="D158" s="9">
        <v>500</v>
      </c>
      <c r="E158" s="9">
        <v>706</v>
      </c>
      <c r="F158" s="9">
        <v>206</v>
      </c>
      <c r="G158" s="9">
        <v>56</v>
      </c>
      <c r="H158" s="9">
        <v>7.3680000000000003</v>
      </c>
      <c r="I158" s="9">
        <v>1510.5139999999999</v>
      </c>
      <c r="J158" s="9">
        <v>0</v>
      </c>
      <c r="K158" s="9" t="b">
        <v>1</v>
      </c>
      <c r="L158" s="10">
        <v>46231.857638888891</v>
      </c>
      <c r="M158" s="29" t="str">
        <f t="shared" si="16"/>
        <v>238829520 -&gt; 5990070#1 | t=500 | 28/07/2026 20:35</v>
      </c>
      <c r="N158" s="1" t="str">
        <f t="shared" si="17"/>
        <v>3 min 26 s</v>
      </c>
      <c r="O158" s="6">
        <f t="shared" si="18"/>
        <v>26.524800000000003</v>
      </c>
      <c r="P158" s="23">
        <f t="shared" si="19"/>
        <v>1.5105139999999999</v>
      </c>
      <c r="Q158" s="4">
        <f t="shared" si="20"/>
        <v>2.3668981481481484E-3</v>
      </c>
      <c r="R158" s="1" t="str">
        <f t="shared" si="21"/>
        <v/>
      </c>
      <c r="S158" s="7" t="str">
        <f t="shared" si="22"/>
        <v/>
      </c>
      <c r="T158" s="1" t="str">
        <f t="shared" si="23"/>
        <v>Referencia</v>
      </c>
    </row>
    <row r="159" spans="1:20" x14ac:dyDescent="0.3">
      <c r="A159" s="9" t="s">
        <v>13</v>
      </c>
      <c r="B159" s="9" t="s">
        <v>22</v>
      </c>
      <c r="C159" s="9" t="s">
        <v>24</v>
      </c>
      <c r="D159" s="9">
        <v>500</v>
      </c>
      <c r="E159" s="9">
        <v>771</v>
      </c>
      <c r="F159" s="9">
        <v>271</v>
      </c>
      <c r="G159" s="9">
        <v>120</v>
      </c>
      <c r="H159" s="9">
        <v>5.5910000000000002</v>
      </c>
      <c r="I159" s="9">
        <v>1509.6590000000001</v>
      </c>
      <c r="J159" s="9">
        <v>3</v>
      </c>
      <c r="K159" s="9" t="b">
        <v>1</v>
      </c>
      <c r="L159" s="10">
        <v>46231.857638888891</v>
      </c>
      <c r="M159" s="29" t="str">
        <f t="shared" si="16"/>
        <v>238829520 -&gt; 5990070#1 | t=500 | 28/07/2026 20:35</v>
      </c>
      <c r="N159" s="1" t="str">
        <f t="shared" si="17"/>
        <v>4 min 31 s</v>
      </c>
      <c r="O159" s="6">
        <f t="shared" si="18"/>
        <v>20.127600000000001</v>
      </c>
      <c r="P159" s="23">
        <f t="shared" si="19"/>
        <v>1.5096590000000001</v>
      </c>
      <c r="Q159" s="4">
        <f t="shared" si="20"/>
        <v>2.3668981481481484E-3</v>
      </c>
      <c r="R159" s="1" t="str">
        <f t="shared" si="21"/>
        <v>-1 min 06 s</v>
      </c>
      <c r="S159" s="7">
        <f t="shared" si="22"/>
        <v>-0.32518337408312953</v>
      </c>
      <c r="T159" s="1" t="str">
        <f t="shared" si="23"/>
        <v>Empeora</v>
      </c>
    </row>
    <row r="160" spans="1:20" x14ac:dyDescent="0.3">
      <c r="A160" s="9" t="s">
        <v>12</v>
      </c>
      <c r="B160" s="9" t="s">
        <v>22</v>
      </c>
      <c r="C160" s="9" t="s">
        <v>24</v>
      </c>
      <c r="D160" s="9">
        <v>500</v>
      </c>
      <c r="E160" s="9">
        <v>699</v>
      </c>
      <c r="F160" s="9">
        <v>199</v>
      </c>
      <c r="G160" s="9">
        <v>67</v>
      </c>
      <c r="H160" s="9">
        <v>7.6180000000000003</v>
      </c>
      <c r="I160" s="9">
        <v>1508.348</v>
      </c>
      <c r="J160" s="9">
        <v>0</v>
      </c>
      <c r="K160" s="9" t="b">
        <v>1</v>
      </c>
      <c r="L160" s="10">
        <v>46231.864583333336</v>
      </c>
      <c r="M160" s="29" t="str">
        <f t="shared" si="16"/>
        <v>238829520 -&gt; 5990070#1 | t=500 | 28/07/2026 20:45</v>
      </c>
      <c r="N160" s="1" t="str">
        <f t="shared" si="17"/>
        <v>3 min 19 s</v>
      </c>
      <c r="O160" s="6">
        <f t="shared" si="18"/>
        <v>27.424800000000001</v>
      </c>
      <c r="P160" s="23">
        <f t="shared" si="19"/>
        <v>1.508348</v>
      </c>
      <c r="Q160" s="4">
        <f t="shared" si="20"/>
        <v>2.3032407407407407E-3</v>
      </c>
      <c r="R160" s="1" t="str">
        <f t="shared" si="21"/>
        <v/>
      </c>
      <c r="S160" s="7" t="str">
        <f t="shared" si="22"/>
        <v/>
      </c>
      <c r="T160" s="1" t="str">
        <f t="shared" si="23"/>
        <v>Referencia</v>
      </c>
    </row>
    <row r="161" spans="1:20" x14ac:dyDescent="0.3">
      <c r="A161" s="9" t="s">
        <v>13</v>
      </c>
      <c r="B161" s="9" t="s">
        <v>22</v>
      </c>
      <c r="C161" s="9" t="s">
        <v>24</v>
      </c>
      <c r="D161" s="9">
        <v>500</v>
      </c>
      <c r="E161" s="9">
        <v>683</v>
      </c>
      <c r="F161" s="9">
        <v>183</v>
      </c>
      <c r="G161" s="9">
        <v>1</v>
      </c>
      <c r="H161" s="9">
        <v>9.8629999999999995</v>
      </c>
      <c r="I161" s="9">
        <v>1795.01</v>
      </c>
      <c r="J161" s="9">
        <v>5</v>
      </c>
      <c r="K161" s="9" t="b">
        <v>1</v>
      </c>
      <c r="L161" s="10">
        <v>46231.864583333336</v>
      </c>
      <c r="M161" s="29" t="str">
        <f t="shared" si="16"/>
        <v>238829520 -&gt; 5990070#1 | t=500 | 28/07/2026 20:45</v>
      </c>
      <c r="N161" s="1" t="str">
        <f t="shared" si="17"/>
        <v>3 min 03 s</v>
      </c>
      <c r="O161" s="6">
        <f t="shared" si="18"/>
        <v>35.506799999999998</v>
      </c>
      <c r="P161" s="23">
        <f t="shared" si="19"/>
        <v>1.79501</v>
      </c>
      <c r="Q161" s="4">
        <f t="shared" si="20"/>
        <v>2.3032407407407407E-3</v>
      </c>
      <c r="R161" s="1" t="str">
        <f t="shared" si="21"/>
        <v>0 min 16 s</v>
      </c>
      <c r="S161" s="7">
        <f t="shared" si="22"/>
        <v>8.0402010050251146E-2</v>
      </c>
      <c r="T161" s="1" t="str">
        <f t="shared" si="23"/>
        <v>Mejora</v>
      </c>
    </row>
    <row r="162" spans="1:20" x14ac:dyDescent="0.3">
      <c r="A162" s="9" t="s">
        <v>12</v>
      </c>
      <c r="B162" s="9" t="s">
        <v>22</v>
      </c>
      <c r="C162" s="9" t="s">
        <v>24</v>
      </c>
      <c r="D162" s="9">
        <v>500</v>
      </c>
      <c r="E162" s="9">
        <v>699</v>
      </c>
      <c r="F162" s="9">
        <v>199</v>
      </c>
      <c r="G162" s="9">
        <v>68</v>
      </c>
      <c r="H162" s="9">
        <v>7.6150000000000002</v>
      </c>
      <c r="I162" s="9">
        <v>1507.8040000000001</v>
      </c>
      <c r="J162" s="9">
        <v>0</v>
      </c>
      <c r="K162" s="9" t="b">
        <v>1</v>
      </c>
      <c r="L162" s="10">
        <v>46231.871527777781</v>
      </c>
      <c r="M162" s="29" t="str">
        <f t="shared" si="16"/>
        <v>238829520 -&gt; 5990070#1 | t=500 | 28/07/2026 20:55</v>
      </c>
      <c r="N162" s="1" t="str">
        <f t="shared" si="17"/>
        <v>3 min 19 s</v>
      </c>
      <c r="O162" s="6">
        <f t="shared" si="18"/>
        <v>27.414000000000001</v>
      </c>
      <c r="P162" s="23">
        <f t="shared" si="19"/>
        <v>1.5078040000000001</v>
      </c>
      <c r="Q162" s="4">
        <f t="shared" si="20"/>
        <v>2.3032407407407407E-3</v>
      </c>
      <c r="R162" s="1" t="str">
        <f t="shared" si="21"/>
        <v/>
      </c>
      <c r="S162" s="7" t="str">
        <f t="shared" si="22"/>
        <v/>
      </c>
      <c r="T162" s="1" t="str">
        <f t="shared" si="23"/>
        <v>Referencia</v>
      </c>
    </row>
    <row r="163" spans="1:20" x14ac:dyDescent="0.3">
      <c r="A163" s="9" t="s">
        <v>13</v>
      </c>
      <c r="B163" s="9" t="s">
        <v>22</v>
      </c>
      <c r="C163" s="9" t="s">
        <v>24</v>
      </c>
      <c r="D163" s="9">
        <v>500</v>
      </c>
      <c r="E163" s="9">
        <v>630</v>
      </c>
      <c r="F163" s="9">
        <v>130</v>
      </c>
      <c r="G163" s="9">
        <v>7</v>
      </c>
      <c r="H163" s="9">
        <v>11.708</v>
      </c>
      <c r="I163" s="9">
        <v>1510.3140000000001</v>
      </c>
      <c r="J163" s="9">
        <v>1</v>
      </c>
      <c r="K163" s="9" t="b">
        <v>1</v>
      </c>
      <c r="L163" s="10">
        <v>46231.871527777781</v>
      </c>
      <c r="M163" s="29" t="str">
        <f t="shared" si="16"/>
        <v>238829520 -&gt; 5990070#1 | t=500 | 28/07/2026 20:55</v>
      </c>
      <c r="N163" s="1" t="str">
        <f t="shared" si="17"/>
        <v>2 min 10 s</v>
      </c>
      <c r="O163" s="6">
        <f t="shared" si="18"/>
        <v>42.148800000000001</v>
      </c>
      <c r="P163" s="23">
        <f t="shared" si="19"/>
        <v>1.5103140000000002</v>
      </c>
      <c r="Q163" s="4">
        <f t="shared" si="20"/>
        <v>2.3032407407407407E-3</v>
      </c>
      <c r="R163" s="1" t="str">
        <f t="shared" si="21"/>
        <v>1 min 09 s</v>
      </c>
      <c r="S163" s="7">
        <f t="shared" si="22"/>
        <v>0.34673366834170855</v>
      </c>
      <c r="T163" s="1" t="str">
        <f t="shared" si="23"/>
        <v>Mejora</v>
      </c>
    </row>
    <row r="164" spans="1:20" x14ac:dyDescent="0.3">
      <c r="A164" s="9" t="s">
        <v>12</v>
      </c>
      <c r="B164" s="9" t="s">
        <v>22</v>
      </c>
      <c r="C164" s="9" t="s">
        <v>24</v>
      </c>
      <c r="D164" s="9">
        <v>500</v>
      </c>
      <c r="E164" s="9">
        <v>699</v>
      </c>
      <c r="F164" s="9">
        <v>199</v>
      </c>
      <c r="G164" s="9">
        <v>55</v>
      </c>
      <c r="H164" s="9">
        <v>7.6070000000000002</v>
      </c>
      <c r="I164" s="9">
        <v>1506.2139999999999</v>
      </c>
      <c r="J164" s="9">
        <v>0</v>
      </c>
      <c r="K164" s="9" t="b">
        <v>1</v>
      </c>
      <c r="L164" s="10">
        <v>46231.885416666664</v>
      </c>
      <c r="M164" s="29" t="str">
        <f t="shared" si="16"/>
        <v>238829520 -&gt; 5990070#1 | t=500 | 28/07/2026 21:15</v>
      </c>
      <c r="N164" s="1" t="str">
        <f t="shared" si="17"/>
        <v>3 min 19 s</v>
      </c>
      <c r="O164" s="6">
        <f t="shared" si="18"/>
        <v>27.385200000000001</v>
      </c>
      <c r="P164" s="23">
        <f t="shared" si="19"/>
        <v>1.5062139999999999</v>
      </c>
      <c r="Q164" s="4">
        <f t="shared" si="20"/>
        <v>2.3032407407407407E-3</v>
      </c>
      <c r="R164" s="1" t="str">
        <f t="shared" si="21"/>
        <v/>
      </c>
      <c r="S164" s="7" t="str">
        <f t="shared" si="22"/>
        <v/>
      </c>
      <c r="T164" s="1" t="str">
        <f t="shared" si="23"/>
        <v>Referencia</v>
      </c>
    </row>
    <row r="165" spans="1:20" x14ac:dyDescent="0.3">
      <c r="A165" s="9" t="s">
        <v>13</v>
      </c>
      <c r="B165" s="9" t="s">
        <v>22</v>
      </c>
      <c r="C165" s="9" t="s">
        <v>24</v>
      </c>
      <c r="D165" s="9">
        <v>500</v>
      </c>
      <c r="E165" s="9">
        <v>641</v>
      </c>
      <c r="F165" s="9">
        <v>141</v>
      </c>
      <c r="G165" s="9">
        <v>9</v>
      </c>
      <c r="H165" s="9">
        <v>10.791</v>
      </c>
      <c r="I165" s="9">
        <v>1510.741</v>
      </c>
      <c r="J165" s="9">
        <v>3</v>
      </c>
      <c r="K165" s="9" t="b">
        <v>1</v>
      </c>
      <c r="L165" s="10">
        <v>46231.885416666664</v>
      </c>
      <c r="M165" s="29" t="str">
        <f t="shared" si="16"/>
        <v>238829520 -&gt; 5990070#1 | t=500 | 28/07/2026 21:15</v>
      </c>
      <c r="N165" s="1" t="str">
        <f t="shared" si="17"/>
        <v>2 min 21 s</v>
      </c>
      <c r="O165" s="6">
        <f t="shared" si="18"/>
        <v>38.8476</v>
      </c>
      <c r="P165" s="23">
        <f t="shared" si="19"/>
        <v>1.5107409999999999</v>
      </c>
      <c r="Q165" s="4">
        <f t="shared" si="20"/>
        <v>2.3032407407407407E-3</v>
      </c>
      <c r="R165" s="1" t="str">
        <f t="shared" si="21"/>
        <v>0 min 58 s</v>
      </c>
      <c r="S165" s="7">
        <f t="shared" si="22"/>
        <v>0.29145728643216073</v>
      </c>
      <c r="T165" s="1" t="str">
        <f t="shared" si="23"/>
        <v>Mejora</v>
      </c>
    </row>
    <row r="166" spans="1:20" x14ac:dyDescent="0.3">
      <c r="A166" s="9" t="s">
        <v>12</v>
      </c>
      <c r="B166" s="9" t="s">
        <v>22</v>
      </c>
      <c r="C166" s="9" t="s">
        <v>24</v>
      </c>
      <c r="D166" s="9">
        <v>500</v>
      </c>
      <c r="E166" s="9">
        <v>699</v>
      </c>
      <c r="F166" s="9">
        <v>199</v>
      </c>
      <c r="G166" s="9">
        <v>49</v>
      </c>
      <c r="H166" s="9">
        <v>7.6139999999999999</v>
      </c>
      <c r="I166" s="9">
        <v>1507.4860000000001</v>
      </c>
      <c r="J166" s="9">
        <v>0</v>
      </c>
      <c r="K166" s="9" t="b">
        <v>1</v>
      </c>
      <c r="L166" s="10">
        <v>46231.899305555555</v>
      </c>
      <c r="M166" s="29" t="str">
        <f t="shared" si="16"/>
        <v>238829520 -&gt; 5990070#1 | t=500 | 28/07/2026 21:35</v>
      </c>
      <c r="N166" s="1" t="str">
        <f t="shared" si="17"/>
        <v>3 min 19 s</v>
      </c>
      <c r="O166" s="6">
        <f t="shared" si="18"/>
        <v>27.410399999999999</v>
      </c>
      <c r="P166" s="23">
        <f t="shared" si="19"/>
        <v>1.5074860000000001</v>
      </c>
      <c r="Q166" s="4">
        <f t="shared" si="20"/>
        <v>2.3032407407407407E-3</v>
      </c>
      <c r="R166" s="1" t="str">
        <f t="shared" si="21"/>
        <v/>
      </c>
      <c r="S166" s="7" t="str">
        <f t="shared" si="22"/>
        <v/>
      </c>
      <c r="T166" s="1" t="str">
        <f t="shared" si="23"/>
        <v>Referencia</v>
      </c>
    </row>
    <row r="167" spans="1:20" x14ac:dyDescent="0.3">
      <c r="A167" s="9" t="s">
        <v>13</v>
      </c>
      <c r="B167" s="9" t="s">
        <v>22</v>
      </c>
      <c r="C167" s="9" t="s">
        <v>24</v>
      </c>
      <c r="D167" s="9">
        <v>500</v>
      </c>
      <c r="E167" s="9">
        <v>649</v>
      </c>
      <c r="F167" s="9">
        <v>149</v>
      </c>
      <c r="G167" s="9">
        <v>6</v>
      </c>
      <c r="H167" s="9">
        <v>10.186</v>
      </c>
      <c r="I167" s="9">
        <v>1507.508</v>
      </c>
      <c r="J167" s="9">
        <v>2</v>
      </c>
      <c r="K167" s="9" t="b">
        <v>1</v>
      </c>
      <c r="L167" s="10">
        <v>46231.899305555555</v>
      </c>
      <c r="M167" s="29" t="str">
        <f t="shared" si="16"/>
        <v>238829520 -&gt; 5990070#1 | t=500 | 28/07/2026 21:35</v>
      </c>
      <c r="N167" s="1" t="str">
        <f t="shared" si="17"/>
        <v>2 min 29 s</v>
      </c>
      <c r="O167" s="6">
        <f t="shared" si="18"/>
        <v>36.669600000000003</v>
      </c>
      <c r="P167" s="23">
        <f t="shared" si="19"/>
        <v>1.5075080000000001</v>
      </c>
      <c r="Q167" s="4">
        <f t="shared" si="20"/>
        <v>2.3032407407407407E-3</v>
      </c>
      <c r="R167" s="1" t="str">
        <f t="shared" si="21"/>
        <v>0 min 50 s</v>
      </c>
      <c r="S167" s="7">
        <f t="shared" si="22"/>
        <v>0.25125628140703515</v>
      </c>
      <c r="T167" s="1" t="str">
        <f t="shared" si="23"/>
        <v>Mejora</v>
      </c>
    </row>
    <row r="168" spans="1:20" x14ac:dyDescent="0.3">
      <c r="A168" s="9" t="s">
        <v>12</v>
      </c>
      <c r="B168" s="9" t="s">
        <v>22</v>
      </c>
      <c r="C168" s="9" t="s">
        <v>24</v>
      </c>
      <c r="D168" s="9">
        <v>500</v>
      </c>
      <c r="E168" s="9">
        <v>699</v>
      </c>
      <c r="F168" s="9">
        <v>199</v>
      </c>
      <c r="G168" s="9">
        <v>47</v>
      </c>
      <c r="H168" s="9">
        <v>7.6210000000000004</v>
      </c>
      <c r="I168" s="9">
        <v>1508.9570000000001</v>
      </c>
      <c r="J168" s="9">
        <v>0</v>
      </c>
      <c r="K168" s="9" t="b">
        <v>1</v>
      </c>
      <c r="L168" s="10">
        <v>46231.913194444445</v>
      </c>
      <c r="M168" s="29" t="str">
        <f t="shared" si="16"/>
        <v>238829520 -&gt; 5990070#1 | t=500 | 28/07/2026 21:55</v>
      </c>
      <c r="N168" s="1" t="str">
        <f t="shared" si="17"/>
        <v>3 min 19 s</v>
      </c>
      <c r="O168" s="6">
        <f t="shared" si="18"/>
        <v>27.435600000000001</v>
      </c>
      <c r="P168" s="23">
        <f t="shared" si="19"/>
        <v>1.5089570000000001</v>
      </c>
      <c r="Q168" s="4">
        <f t="shared" si="20"/>
        <v>2.3032407407407407E-3</v>
      </c>
      <c r="R168" s="1" t="str">
        <f t="shared" si="21"/>
        <v/>
      </c>
      <c r="S168" s="7" t="str">
        <f t="shared" si="22"/>
        <v/>
      </c>
      <c r="T168" s="1" t="str">
        <f t="shared" si="23"/>
        <v>Referencia</v>
      </c>
    </row>
    <row r="169" spans="1:20" x14ac:dyDescent="0.3">
      <c r="A169" s="9" t="s">
        <v>13</v>
      </c>
      <c r="B169" s="9" t="s">
        <v>22</v>
      </c>
      <c r="C169" s="9" t="s">
        <v>24</v>
      </c>
      <c r="D169" s="9">
        <v>500</v>
      </c>
      <c r="E169" s="9">
        <v>655</v>
      </c>
      <c r="F169" s="9">
        <v>155</v>
      </c>
      <c r="G169" s="9">
        <v>7</v>
      </c>
      <c r="H169" s="9">
        <v>9.7739999999999991</v>
      </c>
      <c r="I169" s="9">
        <v>1505.1949999999999</v>
      </c>
      <c r="J169" s="9">
        <v>3</v>
      </c>
      <c r="K169" s="9" t="b">
        <v>1</v>
      </c>
      <c r="L169" s="10">
        <v>46231.913194444445</v>
      </c>
      <c r="M169" s="29" t="str">
        <f t="shared" si="16"/>
        <v>238829520 -&gt; 5990070#1 | t=500 | 28/07/2026 21:55</v>
      </c>
      <c r="N169" s="1" t="str">
        <f t="shared" si="17"/>
        <v>2 min 35 s</v>
      </c>
      <c r="O169" s="6">
        <f t="shared" si="18"/>
        <v>35.186399999999999</v>
      </c>
      <c r="P169" s="23">
        <f t="shared" si="19"/>
        <v>1.5051949999999998</v>
      </c>
      <c r="Q169" s="4">
        <f t="shared" si="20"/>
        <v>2.3032407407407407E-3</v>
      </c>
      <c r="R169" s="1" t="str">
        <f t="shared" si="21"/>
        <v>0 min 44 s</v>
      </c>
      <c r="S169" s="7">
        <f t="shared" si="22"/>
        <v>0.22110552763819094</v>
      </c>
      <c r="T169" s="1" t="str">
        <f t="shared" si="23"/>
        <v>Mejora</v>
      </c>
    </row>
    <row r="170" spans="1:20" x14ac:dyDescent="0.3">
      <c r="A170" s="9" t="s">
        <v>13</v>
      </c>
      <c r="B170" s="9" t="s">
        <v>22</v>
      </c>
      <c r="C170" s="9" t="s">
        <v>24</v>
      </c>
      <c r="D170" s="9">
        <v>500</v>
      </c>
      <c r="E170" s="9">
        <v>661</v>
      </c>
      <c r="F170" s="9">
        <v>161</v>
      </c>
      <c r="G170" s="9">
        <v>3</v>
      </c>
      <c r="H170" s="9">
        <v>11.217000000000001</v>
      </c>
      <c r="I170" s="9">
        <v>1794.7070000000001</v>
      </c>
      <c r="J170" s="9">
        <v>6</v>
      </c>
      <c r="K170" s="9" t="b">
        <v>1</v>
      </c>
      <c r="L170" s="10">
        <v>46231.913194444445</v>
      </c>
      <c r="M170" s="29" t="str">
        <f t="shared" si="16"/>
        <v>238829520 -&gt; 5990070#1 | t=500 | 28/07/2026 21:55</v>
      </c>
      <c r="N170" s="1" t="str">
        <f t="shared" si="17"/>
        <v>2 min 41 s</v>
      </c>
      <c r="O170" s="6">
        <f t="shared" si="18"/>
        <v>40.3812</v>
      </c>
      <c r="P170" s="23">
        <f t="shared" si="19"/>
        <v>1.7947070000000001</v>
      </c>
      <c r="Q170" s="4">
        <f t="shared" si="20"/>
        <v>2.3032407407407407E-3</v>
      </c>
      <c r="R170" s="1" t="str">
        <f t="shared" si="21"/>
        <v>0 min 38 s</v>
      </c>
      <c r="S170" s="7">
        <f t="shared" si="22"/>
        <v>0.1909547738693467</v>
      </c>
      <c r="T170" s="1" t="str">
        <f t="shared" si="23"/>
        <v>Mejora</v>
      </c>
    </row>
    <row r="171" spans="1:20" x14ac:dyDescent="0.3">
      <c r="A171" s="9" t="s">
        <v>12</v>
      </c>
      <c r="B171" s="9" t="s">
        <v>22</v>
      </c>
      <c r="C171" s="9" t="s">
        <v>24</v>
      </c>
      <c r="D171" s="9">
        <v>500</v>
      </c>
      <c r="E171" s="9">
        <v>699</v>
      </c>
      <c r="F171" s="9">
        <v>199</v>
      </c>
      <c r="G171" s="9">
        <v>67</v>
      </c>
      <c r="H171" s="9">
        <v>7.6050000000000004</v>
      </c>
      <c r="I171" s="9">
        <v>1505.691</v>
      </c>
      <c r="J171" s="9">
        <v>0</v>
      </c>
      <c r="K171" s="9" t="b">
        <v>1</v>
      </c>
      <c r="L171" s="10">
        <v>46231.923611111109</v>
      </c>
      <c r="M171" s="29" t="str">
        <f t="shared" si="16"/>
        <v>238829520 -&gt; 5990070#1 | t=500 | 28/07/2026 22:10</v>
      </c>
      <c r="N171" s="1" t="str">
        <f t="shared" si="17"/>
        <v>3 min 19 s</v>
      </c>
      <c r="O171" s="6">
        <f t="shared" si="18"/>
        <v>27.378000000000004</v>
      </c>
      <c r="P171" s="23">
        <f t="shared" si="19"/>
        <v>1.5056910000000001</v>
      </c>
      <c r="Q171" s="4">
        <f t="shared" si="20"/>
        <v>2.3032407407407407E-3</v>
      </c>
      <c r="R171" s="1" t="str">
        <f t="shared" si="21"/>
        <v/>
      </c>
      <c r="S171" s="7" t="str">
        <f t="shared" si="22"/>
        <v/>
      </c>
      <c r="T171" s="1" t="str">
        <f t="shared" si="23"/>
        <v>Referencia</v>
      </c>
    </row>
    <row r="172" spans="1:20" x14ac:dyDescent="0.3">
      <c r="A172" s="9" t="s">
        <v>13</v>
      </c>
      <c r="B172" s="9" t="s">
        <v>22</v>
      </c>
      <c r="C172" s="9" t="s">
        <v>24</v>
      </c>
      <c r="D172" s="9">
        <v>500</v>
      </c>
      <c r="E172" s="9">
        <v>629</v>
      </c>
      <c r="F172" s="9">
        <v>129</v>
      </c>
      <c r="G172" s="9">
        <v>1</v>
      </c>
      <c r="H172" s="9">
        <v>11.757</v>
      </c>
      <c r="I172" s="9">
        <v>1504.8879999999999</v>
      </c>
      <c r="J172" s="9">
        <v>2</v>
      </c>
      <c r="K172" s="9" t="b">
        <v>1</v>
      </c>
      <c r="L172" s="10">
        <v>46231.923611111109</v>
      </c>
      <c r="M172" s="29" t="str">
        <f t="shared" si="16"/>
        <v>238829520 -&gt; 5990070#1 | t=500 | 28/07/2026 22:10</v>
      </c>
      <c r="N172" s="1" t="str">
        <f t="shared" si="17"/>
        <v>2 min 09 s</v>
      </c>
      <c r="O172" s="6">
        <f t="shared" si="18"/>
        <v>42.325200000000002</v>
      </c>
      <c r="P172" s="23">
        <f t="shared" si="19"/>
        <v>1.504888</v>
      </c>
      <c r="Q172" s="4">
        <f t="shared" si="20"/>
        <v>2.3032407407407407E-3</v>
      </c>
      <c r="R172" s="1" t="str">
        <f t="shared" si="21"/>
        <v>1 min 10 s</v>
      </c>
      <c r="S172" s="7">
        <f t="shared" si="22"/>
        <v>0.35175879396984921</v>
      </c>
      <c r="T172" s="1" t="str">
        <f t="shared" si="23"/>
        <v>Mejora</v>
      </c>
    </row>
    <row r="173" spans="1:20" x14ac:dyDescent="0.3">
      <c r="A173" s="9" t="s">
        <v>12</v>
      </c>
      <c r="B173" s="9" t="s">
        <v>22</v>
      </c>
      <c r="C173" s="9" t="s">
        <v>24</v>
      </c>
      <c r="D173" s="9">
        <v>500</v>
      </c>
      <c r="E173" s="9">
        <v>699</v>
      </c>
      <c r="F173" s="9">
        <v>199</v>
      </c>
      <c r="G173" s="9">
        <v>69</v>
      </c>
      <c r="H173" s="9">
        <v>7.5949999999999998</v>
      </c>
      <c r="I173" s="9">
        <v>1503.73</v>
      </c>
      <c r="J173" s="9">
        <v>0</v>
      </c>
      <c r="K173" s="9" t="b">
        <v>1</v>
      </c>
      <c r="L173" s="10">
        <v>46231.930555555555</v>
      </c>
      <c r="M173" s="29" t="str">
        <f t="shared" si="16"/>
        <v>238829520 -&gt; 5990070#1 | t=500 | 28/07/2026 22:20</v>
      </c>
      <c r="N173" s="1" t="str">
        <f t="shared" si="17"/>
        <v>3 min 19 s</v>
      </c>
      <c r="O173" s="6">
        <f t="shared" si="18"/>
        <v>27.341999999999999</v>
      </c>
      <c r="P173" s="23">
        <f t="shared" si="19"/>
        <v>1.50373</v>
      </c>
      <c r="Q173" s="4">
        <f t="shared" si="20"/>
        <v>2.3032407407407407E-3</v>
      </c>
      <c r="R173" s="1" t="str">
        <f t="shared" si="21"/>
        <v/>
      </c>
      <c r="S173" s="7" t="str">
        <f t="shared" si="22"/>
        <v/>
      </c>
      <c r="T173" s="1" t="str">
        <f t="shared" si="23"/>
        <v>Referencia</v>
      </c>
    </row>
    <row r="174" spans="1:20" x14ac:dyDescent="0.3">
      <c r="A174" s="9" t="s">
        <v>13</v>
      </c>
      <c r="B174" s="9" t="s">
        <v>22</v>
      </c>
      <c r="C174" s="9" t="s">
        <v>24</v>
      </c>
      <c r="D174" s="9">
        <v>500</v>
      </c>
      <c r="E174" s="9">
        <v>630</v>
      </c>
      <c r="F174" s="9">
        <v>130</v>
      </c>
      <c r="G174" s="9">
        <v>4</v>
      </c>
      <c r="H174" s="9">
        <v>11.685</v>
      </c>
      <c r="I174" s="9">
        <v>1507.4290000000001</v>
      </c>
      <c r="J174" s="9">
        <v>2</v>
      </c>
      <c r="K174" s="9" t="b">
        <v>1</v>
      </c>
      <c r="L174" s="10">
        <v>46231.930555555555</v>
      </c>
      <c r="M174" s="29" t="str">
        <f t="shared" si="16"/>
        <v>238829520 -&gt; 5990070#1 | t=500 | 28/07/2026 22:20</v>
      </c>
      <c r="N174" s="1" t="str">
        <f t="shared" si="17"/>
        <v>2 min 10 s</v>
      </c>
      <c r="O174" s="6">
        <f t="shared" si="18"/>
        <v>42.066000000000003</v>
      </c>
      <c r="P174" s="23">
        <f t="shared" si="19"/>
        <v>1.5074290000000001</v>
      </c>
      <c r="Q174" s="4">
        <f t="shared" si="20"/>
        <v>2.3032407407407407E-3</v>
      </c>
      <c r="R174" s="1" t="str">
        <f t="shared" si="21"/>
        <v>1 min 09 s</v>
      </c>
      <c r="S174" s="7">
        <f t="shared" si="22"/>
        <v>0.34673366834170855</v>
      </c>
      <c r="T174" s="1" t="str">
        <f t="shared" si="23"/>
        <v>Mejora</v>
      </c>
    </row>
    <row r="175" spans="1:20" x14ac:dyDescent="0.3">
      <c r="A175" s="9" t="s">
        <v>12</v>
      </c>
      <c r="B175" s="9" t="s">
        <v>22</v>
      </c>
      <c r="C175" s="9" t="s">
        <v>24</v>
      </c>
      <c r="D175" s="9">
        <v>500</v>
      </c>
      <c r="E175" s="9">
        <v>699</v>
      </c>
      <c r="F175" s="9">
        <v>199</v>
      </c>
      <c r="G175" s="9">
        <v>69</v>
      </c>
      <c r="H175" s="9">
        <v>7.6</v>
      </c>
      <c r="I175" s="9">
        <v>1504.8050000000001</v>
      </c>
      <c r="J175" s="9">
        <v>0</v>
      </c>
      <c r="K175" s="9" t="b">
        <v>1</v>
      </c>
      <c r="L175" s="10">
        <v>46231.975694444445</v>
      </c>
      <c r="M175" s="29" t="str">
        <f t="shared" si="16"/>
        <v>238829520 -&gt; 5990070#1 | t=500 | 28/07/2026 23:25</v>
      </c>
      <c r="N175" s="1" t="str">
        <f t="shared" si="17"/>
        <v>3 min 19 s</v>
      </c>
      <c r="O175" s="6">
        <f t="shared" si="18"/>
        <v>27.36</v>
      </c>
      <c r="P175" s="23">
        <f t="shared" si="19"/>
        <v>1.5048050000000002</v>
      </c>
      <c r="Q175" s="4">
        <f t="shared" si="20"/>
        <v>2.3032407407407407E-3</v>
      </c>
      <c r="R175" s="1" t="str">
        <f t="shared" si="21"/>
        <v/>
      </c>
      <c r="S175" s="7" t="str">
        <f t="shared" si="22"/>
        <v/>
      </c>
      <c r="T175" s="1" t="str">
        <f t="shared" si="23"/>
        <v>Referencia</v>
      </c>
    </row>
    <row r="176" spans="1:20" x14ac:dyDescent="0.3">
      <c r="A176" s="9" t="s">
        <v>13</v>
      </c>
      <c r="B176" s="9" t="s">
        <v>22</v>
      </c>
      <c r="C176" s="9" t="s">
        <v>24</v>
      </c>
      <c r="D176" s="9">
        <v>500</v>
      </c>
      <c r="E176" s="9">
        <v>653</v>
      </c>
      <c r="F176" s="9">
        <v>153</v>
      </c>
      <c r="G176" s="9">
        <v>1</v>
      </c>
      <c r="H176" s="9">
        <v>11.803000000000001</v>
      </c>
      <c r="I176" s="9">
        <v>1794.0070000000001</v>
      </c>
      <c r="J176" s="9">
        <v>5</v>
      </c>
      <c r="K176" s="9" t="b">
        <v>1</v>
      </c>
      <c r="L176" s="10">
        <v>46231.975694444445</v>
      </c>
      <c r="M176" s="29" t="str">
        <f t="shared" si="16"/>
        <v>238829520 -&gt; 5990070#1 | t=500 | 28/07/2026 23:25</v>
      </c>
      <c r="N176" s="1" t="str">
        <f t="shared" si="17"/>
        <v>2 min 33 s</v>
      </c>
      <c r="O176" s="6">
        <f t="shared" si="18"/>
        <v>42.490800000000007</v>
      </c>
      <c r="P176" s="23">
        <f t="shared" si="19"/>
        <v>1.7940070000000001</v>
      </c>
      <c r="Q176" s="4">
        <f t="shared" si="20"/>
        <v>2.3032407407407407E-3</v>
      </c>
      <c r="R176" s="1" t="str">
        <f t="shared" si="21"/>
        <v>0 min 46 s</v>
      </c>
      <c r="S176" s="7">
        <f t="shared" si="22"/>
        <v>0.23115577889447239</v>
      </c>
      <c r="T176" s="1" t="str">
        <f t="shared" si="23"/>
        <v>Mejora</v>
      </c>
    </row>
    <row r="177" spans="1:20" x14ac:dyDescent="0.3">
      <c r="A177" s="9" t="s">
        <v>12</v>
      </c>
      <c r="B177" s="9" t="s">
        <v>22</v>
      </c>
      <c r="C177" s="9" t="s">
        <v>24</v>
      </c>
      <c r="D177" s="9">
        <v>500</v>
      </c>
      <c r="E177" s="9">
        <v>699</v>
      </c>
      <c r="F177" s="9">
        <v>199</v>
      </c>
      <c r="G177" s="9">
        <v>64</v>
      </c>
      <c r="H177" s="9">
        <v>7.577</v>
      </c>
      <c r="I177" s="9">
        <v>1500.2</v>
      </c>
      <c r="J177" s="9">
        <v>0</v>
      </c>
      <c r="K177" s="9" t="b">
        <v>1</v>
      </c>
      <c r="L177" s="10">
        <v>46232.475694444445</v>
      </c>
      <c r="M177" s="29" t="str">
        <f t="shared" si="16"/>
        <v>238829520 -&gt; 5990070#1 | t=500 | 29/07/2026 11:25</v>
      </c>
      <c r="N177" s="1" t="str">
        <f t="shared" si="17"/>
        <v>3 min 19 s</v>
      </c>
      <c r="O177" s="6">
        <f t="shared" si="18"/>
        <v>27.277200000000001</v>
      </c>
      <c r="P177" s="23">
        <f t="shared" si="19"/>
        <v>1.5002</v>
      </c>
      <c r="Q177" s="4">
        <f t="shared" si="20"/>
        <v>2.3032407407407407E-3</v>
      </c>
      <c r="R177" s="1" t="str">
        <f t="shared" si="21"/>
        <v/>
      </c>
      <c r="S177" s="7" t="str">
        <f t="shared" si="22"/>
        <v/>
      </c>
      <c r="T177" s="1" t="str">
        <f t="shared" si="23"/>
        <v>Referencia</v>
      </c>
    </row>
    <row r="178" spans="1:20" x14ac:dyDescent="0.3">
      <c r="A178" s="9" t="s">
        <v>13</v>
      </c>
      <c r="B178" s="9" t="s">
        <v>22</v>
      </c>
      <c r="C178" s="9" t="s">
        <v>24</v>
      </c>
      <c r="D178" s="9">
        <v>500</v>
      </c>
      <c r="E178" s="9">
        <v>645</v>
      </c>
      <c r="F178" s="9">
        <v>145</v>
      </c>
      <c r="G178" s="9">
        <v>9</v>
      </c>
      <c r="H178" s="9">
        <v>10.473000000000001</v>
      </c>
      <c r="I178" s="9">
        <v>1508.1759999999999</v>
      </c>
      <c r="J178" s="9">
        <v>4</v>
      </c>
      <c r="K178" s="9" t="b">
        <v>1</v>
      </c>
      <c r="L178" s="10">
        <v>46232.475694444445</v>
      </c>
      <c r="M178" s="29" t="str">
        <f t="shared" si="16"/>
        <v>238829520 -&gt; 5990070#1 | t=500 | 29/07/2026 11:25</v>
      </c>
      <c r="N178" s="1" t="str">
        <f t="shared" si="17"/>
        <v>2 min 25 s</v>
      </c>
      <c r="O178" s="6">
        <f t="shared" si="18"/>
        <v>37.702800000000003</v>
      </c>
      <c r="P178" s="23">
        <f t="shared" si="19"/>
        <v>1.508176</v>
      </c>
      <c r="Q178" s="4">
        <f t="shared" si="20"/>
        <v>2.3032407407407407E-3</v>
      </c>
      <c r="R178" s="1" t="str">
        <f t="shared" si="21"/>
        <v>0 min 54 s</v>
      </c>
      <c r="S178" s="7">
        <f t="shared" si="22"/>
        <v>0.27135678391959794</v>
      </c>
      <c r="T178" s="1" t="str">
        <f t="shared" si="23"/>
        <v>Mejora</v>
      </c>
    </row>
    <row r="179" spans="1:20" x14ac:dyDescent="0.3">
      <c r="A179" s="9" t="s">
        <v>12</v>
      </c>
      <c r="B179" s="9" t="s">
        <v>22</v>
      </c>
      <c r="C179" s="9" t="s">
        <v>24</v>
      </c>
      <c r="D179" s="9">
        <v>500</v>
      </c>
      <c r="E179" s="9">
        <v>699</v>
      </c>
      <c r="F179" s="9">
        <v>199</v>
      </c>
      <c r="G179" s="9">
        <v>56</v>
      </c>
      <c r="H179" s="9">
        <v>7.6040000000000001</v>
      </c>
      <c r="I179" s="9">
        <v>1505.5129999999999</v>
      </c>
      <c r="J179" s="9">
        <v>0</v>
      </c>
      <c r="K179" s="9" t="b">
        <v>1</v>
      </c>
      <c r="L179" s="10">
        <v>46232.475694444445</v>
      </c>
      <c r="M179" s="29" t="str">
        <f t="shared" si="16"/>
        <v>238829520 -&gt; 5990070#1 | t=500 | 29/07/2026 11:25</v>
      </c>
      <c r="N179" s="1" t="str">
        <f t="shared" si="17"/>
        <v>3 min 19 s</v>
      </c>
      <c r="O179" s="6">
        <f t="shared" si="18"/>
        <v>27.374400000000001</v>
      </c>
      <c r="P179" s="23">
        <f t="shared" si="19"/>
        <v>1.5055129999999999</v>
      </c>
      <c r="Q179" s="4">
        <f t="shared" si="20"/>
        <v>2.3032407407407407E-3</v>
      </c>
      <c r="R179" s="1" t="str">
        <f t="shared" si="21"/>
        <v/>
      </c>
      <c r="S179" s="7" t="str">
        <f t="shared" si="22"/>
        <v/>
      </c>
      <c r="T179" s="1" t="str">
        <f t="shared" si="23"/>
        <v>Referencia</v>
      </c>
    </row>
    <row r="180" spans="1:20" x14ac:dyDescent="0.3">
      <c r="A180" s="9" t="s">
        <v>13</v>
      </c>
      <c r="B180" s="9" t="s">
        <v>22</v>
      </c>
      <c r="C180" s="9" t="s">
        <v>24</v>
      </c>
      <c r="D180" s="9">
        <v>500</v>
      </c>
      <c r="E180" s="9">
        <v>668</v>
      </c>
      <c r="F180" s="9">
        <v>168</v>
      </c>
      <c r="G180" s="9">
        <v>31</v>
      </c>
      <c r="H180" s="9">
        <v>9.0280000000000005</v>
      </c>
      <c r="I180" s="9">
        <v>1507.7560000000001</v>
      </c>
      <c r="J180" s="9">
        <v>4</v>
      </c>
      <c r="K180" s="9" t="b">
        <v>1</v>
      </c>
      <c r="L180" s="10">
        <v>46232.475694444445</v>
      </c>
      <c r="M180" s="29" t="str">
        <f t="shared" si="16"/>
        <v>238829520 -&gt; 5990070#1 | t=500 | 29/07/2026 11:25</v>
      </c>
      <c r="N180" s="1" t="str">
        <f t="shared" si="17"/>
        <v>2 min 48 s</v>
      </c>
      <c r="O180" s="6">
        <f t="shared" si="18"/>
        <v>32.500800000000005</v>
      </c>
      <c r="P180" s="23">
        <f t="shared" si="19"/>
        <v>1.5077560000000001</v>
      </c>
      <c r="Q180" s="4">
        <f t="shared" si="20"/>
        <v>2.3032407407407407E-3</v>
      </c>
      <c r="R180" s="1" t="str">
        <f t="shared" si="21"/>
        <v>0 min 31 s</v>
      </c>
      <c r="S180" s="7">
        <f t="shared" si="22"/>
        <v>0.15577889447236182</v>
      </c>
      <c r="T180" s="1" t="str">
        <f t="shared" si="23"/>
        <v>Mejora</v>
      </c>
    </row>
    <row r="181" spans="1:20" x14ac:dyDescent="0.3">
      <c r="A181" s="9" t="s">
        <v>12</v>
      </c>
      <c r="B181" s="9" t="s">
        <v>22</v>
      </c>
      <c r="C181" s="9" t="s">
        <v>24</v>
      </c>
      <c r="D181" s="9">
        <v>500</v>
      </c>
      <c r="E181" s="9">
        <v>699</v>
      </c>
      <c r="F181" s="9">
        <v>199</v>
      </c>
      <c r="G181" s="9">
        <v>63</v>
      </c>
      <c r="H181" s="9">
        <v>7.6079999999999997</v>
      </c>
      <c r="I181" s="9">
        <v>1506.346</v>
      </c>
      <c r="J181" s="9">
        <v>0</v>
      </c>
      <c r="K181" s="9" t="b">
        <v>1</v>
      </c>
      <c r="L181" s="10">
        <v>46232.475694444445</v>
      </c>
      <c r="M181" s="29" t="str">
        <f t="shared" si="16"/>
        <v>238829520 -&gt; 5990070#1 | t=500 | 29/07/2026 11:25</v>
      </c>
      <c r="N181" s="1" t="str">
        <f t="shared" si="17"/>
        <v>3 min 19 s</v>
      </c>
      <c r="O181" s="6">
        <f t="shared" si="18"/>
        <v>27.3888</v>
      </c>
      <c r="P181" s="23">
        <f t="shared" si="19"/>
        <v>1.506346</v>
      </c>
      <c r="Q181" s="4">
        <f t="shared" si="20"/>
        <v>2.3032407407407407E-3</v>
      </c>
      <c r="R181" s="1" t="str">
        <f t="shared" si="21"/>
        <v/>
      </c>
      <c r="S181" s="7" t="str">
        <f t="shared" si="22"/>
        <v/>
      </c>
      <c r="T181" s="1" t="str">
        <f t="shared" si="23"/>
        <v>Referencia</v>
      </c>
    </row>
    <row r="182" spans="1:20" x14ac:dyDescent="0.3">
      <c r="A182" s="9" t="s">
        <v>13</v>
      </c>
      <c r="B182" s="9" t="s">
        <v>22</v>
      </c>
      <c r="C182" s="9" t="s">
        <v>24</v>
      </c>
      <c r="D182" s="9">
        <v>500</v>
      </c>
      <c r="E182" s="9">
        <v>693</v>
      </c>
      <c r="F182" s="9">
        <v>193</v>
      </c>
      <c r="G182" s="9">
        <v>60</v>
      </c>
      <c r="H182" s="9">
        <v>7.8630000000000004</v>
      </c>
      <c r="I182" s="9">
        <v>1509.7750000000001</v>
      </c>
      <c r="J182" s="9">
        <v>3</v>
      </c>
      <c r="K182" s="9" t="b">
        <v>1</v>
      </c>
      <c r="L182" s="10">
        <v>46232.479166666664</v>
      </c>
      <c r="M182" s="29" t="str">
        <f t="shared" si="16"/>
        <v>238829520 -&gt; 5990070#1 | t=500 | 29/07/2026 11:30</v>
      </c>
      <c r="N182" s="1" t="str">
        <f t="shared" si="17"/>
        <v>3 min 13 s</v>
      </c>
      <c r="O182" s="6">
        <f t="shared" si="18"/>
        <v>28.306800000000003</v>
      </c>
      <c r="P182" s="23">
        <f t="shared" si="19"/>
        <v>1.5097750000000001</v>
      </c>
      <c r="Q182" s="4" t="str">
        <f t="shared" si="20"/>
        <v/>
      </c>
      <c r="R182" s="1" t="str">
        <f t="shared" si="21"/>
        <v/>
      </c>
      <c r="S182" s="7" t="str">
        <f t="shared" si="22"/>
        <v/>
      </c>
      <c r="T182" s="1" t="str">
        <f t="shared" si="23"/>
        <v>Sin referencia</v>
      </c>
    </row>
    <row r="183" spans="1:20" x14ac:dyDescent="0.3">
      <c r="A183" s="9" t="s">
        <v>13</v>
      </c>
      <c r="B183" s="9" t="s">
        <v>22</v>
      </c>
      <c r="C183" s="9" t="s">
        <v>24</v>
      </c>
      <c r="D183" s="9">
        <v>500</v>
      </c>
      <c r="E183" s="9">
        <v>693</v>
      </c>
      <c r="F183" s="9">
        <v>193</v>
      </c>
      <c r="G183" s="9">
        <v>60</v>
      </c>
      <c r="H183" s="9">
        <v>7.8630000000000004</v>
      </c>
      <c r="I183" s="9">
        <v>1509.7750000000001</v>
      </c>
      <c r="J183" s="9">
        <v>3</v>
      </c>
      <c r="K183" s="9" t="b">
        <v>1</v>
      </c>
      <c r="L183" s="10">
        <v>46232.479166666664</v>
      </c>
      <c r="M183" s="29" t="str">
        <f t="shared" si="16"/>
        <v>238829520 -&gt; 5990070#1 | t=500 | 29/07/2026 11:30</v>
      </c>
      <c r="N183" s="1" t="str">
        <f t="shared" si="17"/>
        <v>3 min 13 s</v>
      </c>
      <c r="O183" s="6">
        <f t="shared" si="18"/>
        <v>28.306800000000003</v>
      </c>
      <c r="P183" s="23">
        <f t="shared" si="19"/>
        <v>1.5097750000000001</v>
      </c>
      <c r="Q183" s="4" t="str">
        <f t="shared" si="20"/>
        <v/>
      </c>
      <c r="R183" s="1" t="str">
        <f t="shared" si="21"/>
        <v/>
      </c>
      <c r="S183" s="7" t="str">
        <f t="shared" si="22"/>
        <v/>
      </c>
      <c r="T183" s="1" t="str">
        <f t="shared" si="23"/>
        <v>Sin referencia</v>
      </c>
    </row>
    <row r="184" spans="1:20" x14ac:dyDescent="0.3">
      <c r="A184" s="9" t="s">
        <v>12</v>
      </c>
      <c r="B184" s="9" t="s">
        <v>22</v>
      </c>
      <c r="C184" s="9" t="s">
        <v>24</v>
      </c>
      <c r="D184" s="9">
        <v>500</v>
      </c>
      <c r="E184" s="9">
        <v>699</v>
      </c>
      <c r="F184" s="9">
        <v>199</v>
      </c>
      <c r="G184" s="9">
        <v>61</v>
      </c>
      <c r="H184" s="9">
        <v>7.5629999999999997</v>
      </c>
      <c r="I184" s="9">
        <v>1497.5409999999999</v>
      </c>
      <c r="J184" s="9">
        <v>0</v>
      </c>
      <c r="K184" s="9" t="b">
        <v>1</v>
      </c>
      <c r="L184" s="10">
        <v>46232.5</v>
      </c>
      <c r="M184" s="29" t="str">
        <f t="shared" si="16"/>
        <v>238829520 -&gt; 5990070#1 | t=500 | 29/07/2026 12:00</v>
      </c>
      <c r="N184" s="1" t="str">
        <f t="shared" si="17"/>
        <v>3 min 19 s</v>
      </c>
      <c r="O184" s="6">
        <f t="shared" si="18"/>
        <v>27.226800000000001</v>
      </c>
      <c r="P184" s="23">
        <f t="shared" si="19"/>
        <v>1.497541</v>
      </c>
      <c r="Q184" s="4">
        <f t="shared" si="20"/>
        <v>2.3032407407407407E-3</v>
      </c>
      <c r="R184" s="1" t="str">
        <f t="shared" si="21"/>
        <v/>
      </c>
      <c r="S184" s="7" t="str">
        <f t="shared" si="22"/>
        <v/>
      </c>
      <c r="T184" s="1" t="str">
        <f t="shared" si="23"/>
        <v>Referencia</v>
      </c>
    </row>
    <row r="185" spans="1:20" x14ac:dyDescent="0.3">
      <c r="A185" s="9" t="s">
        <v>13</v>
      </c>
      <c r="B185" s="9" t="s">
        <v>22</v>
      </c>
      <c r="C185" s="9" t="s">
        <v>24</v>
      </c>
      <c r="D185" s="9">
        <v>500</v>
      </c>
      <c r="E185" s="9">
        <v>646</v>
      </c>
      <c r="F185" s="9">
        <v>146</v>
      </c>
      <c r="G185" s="9">
        <v>12</v>
      </c>
      <c r="H185" s="9">
        <v>10.397</v>
      </c>
      <c r="I185" s="9">
        <v>1507.6020000000001</v>
      </c>
      <c r="J185" s="9">
        <v>4</v>
      </c>
      <c r="K185" s="9" t="b">
        <v>1</v>
      </c>
      <c r="L185" s="10">
        <v>46232.5</v>
      </c>
      <c r="M185" s="29" t="str">
        <f t="shared" si="16"/>
        <v>238829520 -&gt; 5990070#1 | t=500 | 29/07/2026 12:00</v>
      </c>
      <c r="N185" s="1" t="str">
        <f t="shared" si="17"/>
        <v>2 min 26 s</v>
      </c>
      <c r="O185" s="6">
        <f t="shared" si="18"/>
        <v>37.429200000000002</v>
      </c>
      <c r="P185" s="23">
        <f t="shared" si="19"/>
        <v>1.5076020000000001</v>
      </c>
      <c r="Q185" s="4">
        <f t="shared" si="20"/>
        <v>2.3032407407407407E-3</v>
      </c>
      <c r="R185" s="1" t="str">
        <f t="shared" si="21"/>
        <v>0 min 53 s</v>
      </c>
      <c r="S185" s="7">
        <f t="shared" si="22"/>
        <v>0.26633165829145727</v>
      </c>
      <c r="T185" s="1" t="str">
        <f t="shared" si="23"/>
        <v>Mejora</v>
      </c>
    </row>
    <row r="186" spans="1:20" x14ac:dyDescent="0.3">
      <c r="A186" s="9" t="s">
        <v>12</v>
      </c>
      <c r="B186" s="9" t="s">
        <v>22</v>
      </c>
      <c r="C186" s="9" t="s">
        <v>24</v>
      </c>
      <c r="D186" s="9">
        <v>500</v>
      </c>
      <c r="E186" s="9">
        <v>699</v>
      </c>
      <c r="F186" s="9">
        <v>199</v>
      </c>
      <c r="G186" s="9">
        <v>61</v>
      </c>
      <c r="H186" s="9">
        <v>7.5629999999999997</v>
      </c>
      <c r="I186" s="9">
        <v>1497.5409999999999</v>
      </c>
      <c r="J186" s="9">
        <v>0</v>
      </c>
      <c r="K186" s="9" t="b">
        <v>1</v>
      </c>
      <c r="L186" s="10">
        <v>46232.5</v>
      </c>
      <c r="M186" s="29" t="str">
        <f t="shared" si="16"/>
        <v>238829520 -&gt; 5990070#1 | t=500 | 29/07/2026 12:00</v>
      </c>
      <c r="N186" s="1" t="str">
        <f t="shared" si="17"/>
        <v>3 min 19 s</v>
      </c>
      <c r="O186" s="6">
        <f t="shared" si="18"/>
        <v>27.226800000000001</v>
      </c>
      <c r="P186" s="23">
        <f t="shared" si="19"/>
        <v>1.497541</v>
      </c>
      <c r="Q186" s="4">
        <f t="shared" si="20"/>
        <v>2.3032407407407407E-3</v>
      </c>
      <c r="R186" s="1" t="str">
        <f t="shared" si="21"/>
        <v/>
      </c>
      <c r="S186" s="7" t="str">
        <f t="shared" si="22"/>
        <v/>
      </c>
      <c r="T186" s="1" t="str">
        <f t="shared" si="23"/>
        <v>Referencia</v>
      </c>
    </row>
    <row r="187" spans="1:20" x14ac:dyDescent="0.3">
      <c r="A187" s="9" t="s">
        <v>13</v>
      </c>
      <c r="B187" s="9" t="s">
        <v>22</v>
      </c>
      <c r="C187" s="9" t="s">
        <v>24</v>
      </c>
      <c r="D187" s="9">
        <v>500</v>
      </c>
      <c r="E187" s="9">
        <v>618</v>
      </c>
      <c r="F187" s="9">
        <v>118</v>
      </c>
      <c r="G187" s="9">
        <v>1</v>
      </c>
      <c r="H187" s="9">
        <v>12.867000000000001</v>
      </c>
      <c r="I187" s="9">
        <v>1505.3979999999999</v>
      </c>
      <c r="J187" s="9">
        <v>3</v>
      </c>
      <c r="K187" s="9" t="b">
        <v>1</v>
      </c>
      <c r="L187" s="10">
        <v>46232.503472222219</v>
      </c>
      <c r="M187" s="29" t="str">
        <f t="shared" si="16"/>
        <v>238829520 -&gt; 5990070#1 | t=500 | 29/07/2026 12:05</v>
      </c>
      <c r="N187" s="1" t="str">
        <f t="shared" si="17"/>
        <v>1 min 58 s</v>
      </c>
      <c r="O187" s="6">
        <f t="shared" si="18"/>
        <v>46.321200000000005</v>
      </c>
      <c r="P187" s="23">
        <f t="shared" si="19"/>
        <v>1.505398</v>
      </c>
      <c r="Q187" s="4" t="str">
        <f t="shared" si="20"/>
        <v/>
      </c>
      <c r="R187" s="1" t="str">
        <f t="shared" si="21"/>
        <v/>
      </c>
      <c r="S187" s="7" t="str">
        <f t="shared" si="22"/>
        <v/>
      </c>
      <c r="T187" s="1" t="str">
        <f t="shared" si="23"/>
        <v>Sin referencia</v>
      </c>
    </row>
    <row r="188" spans="1:20" x14ac:dyDescent="0.3">
      <c r="A188" s="9" t="s">
        <v>12</v>
      </c>
      <c r="B188" s="9" t="s">
        <v>22</v>
      </c>
      <c r="C188" s="9" t="s">
        <v>24</v>
      </c>
      <c r="D188" s="9">
        <v>500</v>
      </c>
      <c r="E188" s="9">
        <v>699</v>
      </c>
      <c r="F188" s="9">
        <v>199</v>
      </c>
      <c r="G188" s="9">
        <v>66</v>
      </c>
      <c r="H188" s="9">
        <v>7.61</v>
      </c>
      <c r="I188" s="9">
        <v>1506.742</v>
      </c>
      <c r="J188" s="9">
        <v>0</v>
      </c>
      <c r="K188" s="9" t="b">
        <v>1</v>
      </c>
      <c r="L188" s="10">
        <v>46232.506944444445</v>
      </c>
      <c r="M188" s="29" t="str">
        <f t="shared" si="16"/>
        <v>238829520 -&gt; 5990070#1 | t=500 | 29/07/2026 12:10</v>
      </c>
      <c r="N188" s="1" t="str">
        <f t="shared" si="17"/>
        <v>3 min 19 s</v>
      </c>
      <c r="O188" s="6">
        <f t="shared" si="18"/>
        <v>27.396000000000001</v>
      </c>
      <c r="P188" s="23">
        <f t="shared" si="19"/>
        <v>1.506742</v>
      </c>
      <c r="Q188" s="4">
        <f t="shared" si="20"/>
        <v>2.3032407407407407E-3</v>
      </c>
      <c r="R188" s="1" t="str">
        <f t="shared" si="21"/>
        <v/>
      </c>
      <c r="S188" s="7" t="str">
        <f t="shared" si="22"/>
        <v/>
      </c>
      <c r="T188" s="1" t="str">
        <f t="shared" si="23"/>
        <v>Referencia</v>
      </c>
    </row>
    <row r="189" spans="1:20" x14ac:dyDescent="0.3">
      <c r="A189" s="9" t="s">
        <v>13</v>
      </c>
      <c r="B189" s="9" t="s">
        <v>22</v>
      </c>
      <c r="C189" s="9" t="s">
        <v>24</v>
      </c>
      <c r="D189" s="9">
        <v>500</v>
      </c>
      <c r="E189" s="9">
        <v>628</v>
      </c>
      <c r="F189" s="9">
        <v>128</v>
      </c>
      <c r="G189" s="9">
        <v>4</v>
      </c>
      <c r="H189" s="9">
        <v>11.881</v>
      </c>
      <c r="I189" s="9">
        <v>1508.8430000000001</v>
      </c>
      <c r="J189" s="9">
        <v>3</v>
      </c>
      <c r="K189" s="9" t="b">
        <v>1</v>
      </c>
      <c r="L189" s="10">
        <v>46232.506944444445</v>
      </c>
      <c r="M189" s="29" t="str">
        <f t="shared" si="16"/>
        <v>238829520 -&gt; 5990070#1 | t=500 | 29/07/2026 12:10</v>
      </c>
      <c r="N189" s="1" t="str">
        <f t="shared" si="17"/>
        <v>2 min 08 s</v>
      </c>
      <c r="O189" s="6">
        <f t="shared" si="18"/>
        <v>42.771599999999999</v>
      </c>
      <c r="P189" s="23">
        <f t="shared" si="19"/>
        <v>1.5088430000000002</v>
      </c>
      <c r="Q189" s="4">
        <f t="shared" si="20"/>
        <v>2.3032407407407407E-3</v>
      </c>
      <c r="R189" s="1" t="str">
        <f t="shared" si="21"/>
        <v>1 min 11 s</v>
      </c>
      <c r="S189" s="7">
        <f t="shared" si="22"/>
        <v>0.35678391959798994</v>
      </c>
      <c r="T189" s="1" t="str">
        <f t="shared" si="23"/>
        <v>Mejora</v>
      </c>
    </row>
    <row r="190" spans="1:20" x14ac:dyDescent="0.3">
      <c r="A190" s="9" t="s">
        <v>12</v>
      </c>
      <c r="B190" s="9" t="s">
        <v>22</v>
      </c>
      <c r="C190" s="9" t="s">
        <v>24</v>
      </c>
      <c r="D190" s="9">
        <v>500</v>
      </c>
      <c r="E190" s="9">
        <v>701</v>
      </c>
      <c r="F190" s="9">
        <v>201</v>
      </c>
      <c r="G190" s="9">
        <v>71</v>
      </c>
      <c r="H190" s="9">
        <v>7.51</v>
      </c>
      <c r="I190" s="9">
        <v>1501.914</v>
      </c>
      <c r="J190" s="9">
        <v>0</v>
      </c>
      <c r="K190" s="9" t="b">
        <v>1</v>
      </c>
      <c r="L190" s="10">
        <v>46232.836805555555</v>
      </c>
      <c r="M190" s="29" t="str">
        <f t="shared" si="16"/>
        <v>238829520 -&gt; 5990070#1 | t=500 | 29/07/2026 20:05</v>
      </c>
      <c r="N190" s="1" t="str">
        <f t="shared" si="17"/>
        <v>3 min 21 s</v>
      </c>
      <c r="O190" s="6">
        <f t="shared" si="18"/>
        <v>27.036000000000001</v>
      </c>
      <c r="P190" s="23">
        <f t="shared" si="19"/>
        <v>1.501914</v>
      </c>
      <c r="Q190" s="4">
        <f t="shared" si="20"/>
        <v>2.3263888888888887E-3</v>
      </c>
      <c r="R190" s="1" t="str">
        <f t="shared" si="21"/>
        <v/>
      </c>
      <c r="S190" s="7" t="str">
        <f t="shared" si="22"/>
        <v/>
      </c>
      <c r="T190" s="1" t="str">
        <f t="shared" si="23"/>
        <v>Referencia</v>
      </c>
    </row>
    <row r="191" spans="1:20" x14ac:dyDescent="0.3">
      <c r="A191" s="9" t="s">
        <v>13</v>
      </c>
      <c r="B191" s="9" t="s">
        <v>22</v>
      </c>
      <c r="C191" s="9" t="s">
        <v>24</v>
      </c>
      <c r="D191" s="9">
        <v>500</v>
      </c>
      <c r="E191" s="9">
        <v>630</v>
      </c>
      <c r="F191" s="9">
        <v>130</v>
      </c>
      <c r="G191" s="9">
        <v>7</v>
      </c>
      <c r="H191" s="9">
        <v>11.686999999999999</v>
      </c>
      <c r="I191" s="9">
        <v>1507.5920000000001</v>
      </c>
      <c r="J191" s="9">
        <v>1</v>
      </c>
      <c r="K191" s="9" t="b">
        <v>1</v>
      </c>
      <c r="L191" s="10">
        <v>46232.840277777781</v>
      </c>
      <c r="M191" s="29" t="str">
        <f t="shared" si="16"/>
        <v>238829520 -&gt; 5990070#1 | t=500 | 29/07/2026 20:10</v>
      </c>
      <c r="N191" s="1" t="str">
        <f t="shared" si="17"/>
        <v>2 min 10 s</v>
      </c>
      <c r="O191" s="6">
        <f t="shared" si="18"/>
        <v>42.0732</v>
      </c>
      <c r="P191" s="23">
        <f t="shared" si="19"/>
        <v>1.507592</v>
      </c>
      <c r="Q191" s="4" t="str">
        <f t="shared" si="20"/>
        <v/>
      </c>
      <c r="R191" s="1" t="str">
        <f t="shared" si="21"/>
        <v/>
      </c>
      <c r="S191" s="7" t="str">
        <f t="shared" si="22"/>
        <v/>
      </c>
      <c r="T191" s="1" t="str">
        <f t="shared" si="23"/>
        <v>Sin referencia</v>
      </c>
    </row>
    <row r="192" spans="1:20" x14ac:dyDescent="0.3">
      <c r="A192" s="9" t="s">
        <v>12</v>
      </c>
      <c r="B192" s="9" t="s">
        <v>22</v>
      </c>
      <c r="C192" s="9" t="s">
        <v>24</v>
      </c>
      <c r="D192" s="9">
        <v>500</v>
      </c>
      <c r="E192" s="9">
        <v>699</v>
      </c>
      <c r="F192" s="9">
        <v>199</v>
      </c>
      <c r="G192" s="9">
        <v>66</v>
      </c>
      <c r="H192" s="9">
        <v>7.6159999999999997</v>
      </c>
      <c r="I192" s="9">
        <v>1507.87</v>
      </c>
      <c r="J192" s="9">
        <v>0</v>
      </c>
      <c r="K192" s="9" t="b">
        <v>1</v>
      </c>
      <c r="L192" s="10">
        <v>46232.850694444445</v>
      </c>
      <c r="M192" s="29" t="str">
        <f t="shared" si="16"/>
        <v>238829520 -&gt; 5990070#1 | t=500 | 29/07/2026 20:25</v>
      </c>
      <c r="N192" s="1" t="str">
        <f t="shared" si="17"/>
        <v>3 min 19 s</v>
      </c>
      <c r="O192" s="6">
        <f t="shared" si="18"/>
        <v>27.4176</v>
      </c>
      <c r="P192" s="23">
        <f t="shared" si="19"/>
        <v>1.5078699999999998</v>
      </c>
      <c r="Q192" s="4">
        <f t="shared" si="20"/>
        <v>2.3032407407407407E-3</v>
      </c>
      <c r="R192" s="1" t="str">
        <f t="shared" si="21"/>
        <v/>
      </c>
      <c r="S192" s="7" t="str">
        <f t="shared" si="22"/>
        <v/>
      </c>
      <c r="T192" s="1" t="str">
        <f t="shared" si="23"/>
        <v>Referencia</v>
      </c>
    </row>
    <row r="193" spans="1:20" x14ac:dyDescent="0.3">
      <c r="A193" s="9" t="s">
        <v>13</v>
      </c>
      <c r="B193" s="9" t="s">
        <v>22</v>
      </c>
      <c r="C193" s="9" t="s">
        <v>24</v>
      </c>
      <c r="D193" s="9">
        <v>500</v>
      </c>
      <c r="E193" s="9">
        <v>651</v>
      </c>
      <c r="F193" s="9">
        <v>151</v>
      </c>
      <c r="G193" s="9">
        <v>1</v>
      </c>
      <c r="H193" s="9">
        <v>11.981</v>
      </c>
      <c r="I193" s="9">
        <v>1797.1969999999999</v>
      </c>
      <c r="J193" s="9">
        <v>5</v>
      </c>
      <c r="K193" s="9" t="b">
        <v>1</v>
      </c>
      <c r="L193" s="10">
        <v>46232.850694444445</v>
      </c>
      <c r="M193" s="29" t="str">
        <f t="shared" si="16"/>
        <v>238829520 -&gt; 5990070#1 | t=500 | 29/07/2026 20:25</v>
      </c>
      <c r="N193" s="1" t="str">
        <f t="shared" si="17"/>
        <v>2 min 31 s</v>
      </c>
      <c r="O193" s="6">
        <f t="shared" si="18"/>
        <v>43.131599999999999</v>
      </c>
      <c r="P193" s="23">
        <f t="shared" si="19"/>
        <v>1.7971969999999999</v>
      </c>
      <c r="Q193" s="4">
        <f t="shared" si="20"/>
        <v>2.3032407407407407E-3</v>
      </c>
      <c r="R193" s="1" t="str">
        <f t="shared" si="21"/>
        <v>0 min 48 s</v>
      </c>
      <c r="S193" s="7">
        <f t="shared" si="22"/>
        <v>0.24120603015075373</v>
      </c>
      <c r="T193" s="1" t="str">
        <f t="shared" si="23"/>
        <v>Mejora</v>
      </c>
    </row>
    <row r="194" spans="1:20" x14ac:dyDescent="0.3">
      <c r="A194" s="9" t="s">
        <v>12</v>
      </c>
      <c r="B194" s="9" t="s">
        <v>22</v>
      </c>
      <c r="C194" s="9" t="s">
        <v>24</v>
      </c>
      <c r="D194" s="9">
        <v>500</v>
      </c>
      <c r="E194" s="9">
        <v>703</v>
      </c>
      <c r="F194" s="9">
        <v>203</v>
      </c>
      <c r="G194" s="9">
        <v>67</v>
      </c>
      <c r="H194" s="9">
        <v>7.4619999999999997</v>
      </c>
      <c r="I194" s="9">
        <v>1507.365</v>
      </c>
      <c r="J194" s="9">
        <v>0</v>
      </c>
      <c r="K194" s="9" t="b">
        <v>1</v>
      </c>
      <c r="L194" s="10">
        <v>46232.854166666664</v>
      </c>
      <c r="M194" s="29" t="str">
        <f t="shared" ref="M194:M257" si="24">B194&amp;" -&gt; "&amp;C194&amp;" | t="&amp;D194&amp;" | "&amp;TEXT(L194,"dd/mm/aaaa hh:mm")</f>
        <v>238829520 -&gt; 5990070#1 | t=500 | 29/07/2026 20:30</v>
      </c>
      <c r="N194" s="1" t="str">
        <f t="shared" ref="N194:N228" si="25">IF(F194="","",INT(F194/60)&amp;" min "&amp;TEXT(MOD(F194,60),"00")&amp;" s")</f>
        <v>3 min 23 s</v>
      </c>
      <c r="O194" s="6">
        <f t="shared" ref="O194:O228" si="26">IF(H194="","",H194*3.6)</f>
        <v>26.863199999999999</v>
      </c>
      <c r="P194" s="23">
        <f t="shared" ref="P194:P228" si="27">IF(I194="","",I194/1000)</f>
        <v>1.5073650000000001</v>
      </c>
      <c r="Q194" s="4">
        <f t="shared" ref="Q194:Q228" si="28">IFERROR(AVERAGEIFS($F:$F,$A:$A,"base",$B:$B,B194,$C:$C,C194,$D:$D,D194,$K:$K,TRUE,$L:$L,L194)/86400,"")</f>
        <v>2.3495370370370371E-3</v>
      </c>
      <c r="R194" s="1" t="str">
        <f t="shared" ref="R194:R257" si="29">IF(OR(A194&lt;&gt;"inteligente",K194&lt;&gt;TRUE,Q194=""),"",IF(Q194-F194/86400&lt;0,"-","")&amp;INT(ABS(Q194-F194/86400)*1440)&amp;" min "&amp;TEXT(MOD(ABS(Q194-F194/86400)*86400,60),"00")&amp;" s")</f>
        <v/>
      </c>
      <c r="S194" s="7" t="str">
        <f t="shared" ref="S194:S228" si="30">IF(OR(A194&lt;&gt;"inteligente",K194&lt;&gt;TRUE,Q194=""),"",(Q194-F194/86400)/Q194)</f>
        <v/>
      </c>
      <c r="T194" s="1" t="str">
        <f t="shared" ref="T194:T257" si="31">IF(K194&lt;&gt;TRUE,"No llega",IF(A194="base","Referencia",IF(S194="","Sin referencia",IF(S194&gt;0,"Mejora",IF(S194&lt;0,"Empeora","Igual")))))</f>
        <v>Referencia</v>
      </c>
    </row>
    <row r="195" spans="1:20" x14ac:dyDescent="0.3">
      <c r="A195" s="9" t="s">
        <v>13</v>
      </c>
      <c r="B195" s="9" t="s">
        <v>22</v>
      </c>
      <c r="C195" s="9" t="s">
        <v>24</v>
      </c>
      <c r="D195" s="9">
        <v>500</v>
      </c>
      <c r="E195" s="9">
        <v>651</v>
      </c>
      <c r="F195" s="9">
        <v>151</v>
      </c>
      <c r="G195" s="9">
        <v>1</v>
      </c>
      <c r="H195" s="9">
        <v>11.968999999999999</v>
      </c>
      <c r="I195" s="9">
        <v>1795.4069999999999</v>
      </c>
      <c r="J195" s="9">
        <v>5</v>
      </c>
      <c r="K195" s="9" t="b">
        <v>1</v>
      </c>
      <c r="L195" s="10">
        <v>46232.854166666664</v>
      </c>
      <c r="M195" s="29" t="str">
        <f t="shared" si="24"/>
        <v>238829520 -&gt; 5990070#1 | t=500 | 29/07/2026 20:30</v>
      </c>
      <c r="N195" s="1" t="str">
        <f t="shared" si="25"/>
        <v>2 min 31 s</v>
      </c>
      <c r="O195" s="6">
        <f t="shared" si="26"/>
        <v>43.0884</v>
      </c>
      <c r="P195" s="23">
        <f t="shared" si="27"/>
        <v>1.795407</v>
      </c>
      <c r="Q195" s="4">
        <f t="shared" si="28"/>
        <v>2.3495370370370371E-3</v>
      </c>
      <c r="R195" s="1" t="str">
        <f t="shared" si="29"/>
        <v>0 min 52 s</v>
      </c>
      <c r="S195" s="7">
        <f t="shared" si="30"/>
        <v>0.25615763546798032</v>
      </c>
      <c r="T195" s="1" t="str">
        <f t="shared" si="31"/>
        <v>Mejora</v>
      </c>
    </row>
    <row r="196" spans="1:20" x14ac:dyDescent="0.3">
      <c r="A196" s="9" t="s">
        <v>12</v>
      </c>
      <c r="B196" s="9" t="s">
        <v>22</v>
      </c>
      <c r="C196" s="9" t="s">
        <v>24</v>
      </c>
      <c r="D196" s="9">
        <v>500</v>
      </c>
      <c r="E196" s="9">
        <v>703</v>
      </c>
      <c r="F196" s="9">
        <v>203</v>
      </c>
      <c r="G196" s="9">
        <v>67</v>
      </c>
      <c r="H196" s="9">
        <v>7.4619999999999997</v>
      </c>
      <c r="I196" s="9">
        <v>1507.365</v>
      </c>
      <c r="J196" s="9">
        <v>0</v>
      </c>
      <c r="K196" s="9" t="b">
        <v>1</v>
      </c>
      <c r="L196" s="10">
        <v>46232.854166666664</v>
      </c>
      <c r="M196" s="29" t="str">
        <f t="shared" si="24"/>
        <v>238829520 -&gt; 5990070#1 | t=500 | 29/07/2026 20:30</v>
      </c>
      <c r="N196" s="1" t="str">
        <f t="shared" si="25"/>
        <v>3 min 23 s</v>
      </c>
      <c r="O196" s="6">
        <f t="shared" si="26"/>
        <v>26.863199999999999</v>
      </c>
      <c r="P196" s="23">
        <f t="shared" si="27"/>
        <v>1.5073650000000001</v>
      </c>
      <c r="Q196" s="4">
        <f t="shared" si="28"/>
        <v>2.3495370370370371E-3</v>
      </c>
      <c r="R196" s="1" t="str">
        <f t="shared" si="29"/>
        <v/>
      </c>
      <c r="S196" s="7" t="str">
        <f t="shared" si="30"/>
        <v/>
      </c>
      <c r="T196" s="1" t="str">
        <f t="shared" si="31"/>
        <v>Referencia</v>
      </c>
    </row>
    <row r="197" spans="1:20" x14ac:dyDescent="0.3">
      <c r="A197" s="9" t="s">
        <v>13</v>
      </c>
      <c r="B197" s="9" t="s">
        <v>22</v>
      </c>
      <c r="C197" s="9" t="s">
        <v>24</v>
      </c>
      <c r="D197" s="9">
        <v>500</v>
      </c>
      <c r="E197" s="9">
        <v>651</v>
      </c>
      <c r="F197" s="9">
        <v>151</v>
      </c>
      <c r="G197" s="9">
        <v>1</v>
      </c>
      <c r="H197" s="9">
        <v>11.968999999999999</v>
      </c>
      <c r="I197" s="9">
        <v>1795.4069999999999</v>
      </c>
      <c r="J197" s="9">
        <v>5</v>
      </c>
      <c r="K197" s="9" t="b">
        <v>1</v>
      </c>
      <c r="L197" s="10">
        <v>46232.854166666664</v>
      </c>
      <c r="M197" s="29" t="str">
        <f t="shared" si="24"/>
        <v>238829520 -&gt; 5990070#1 | t=500 | 29/07/2026 20:30</v>
      </c>
      <c r="N197" s="1" t="str">
        <f t="shared" si="25"/>
        <v>2 min 31 s</v>
      </c>
      <c r="O197" s="6">
        <f t="shared" si="26"/>
        <v>43.0884</v>
      </c>
      <c r="P197" s="23">
        <f t="shared" si="27"/>
        <v>1.795407</v>
      </c>
      <c r="Q197" s="4">
        <f t="shared" si="28"/>
        <v>2.3495370370370371E-3</v>
      </c>
      <c r="R197" s="1" t="str">
        <f t="shared" si="29"/>
        <v>0 min 52 s</v>
      </c>
      <c r="S197" s="7">
        <f t="shared" si="30"/>
        <v>0.25615763546798032</v>
      </c>
      <c r="T197" s="1" t="str">
        <f t="shared" si="31"/>
        <v>Mejora</v>
      </c>
    </row>
    <row r="198" spans="1:20" x14ac:dyDescent="0.3">
      <c r="A198" s="9" t="s">
        <v>12</v>
      </c>
      <c r="B198" s="9" t="s">
        <v>22</v>
      </c>
      <c r="C198" s="9" t="s">
        <v>24</v>
      </c>
      <c r="D198" s="9">
        <v>500</v>
      </c>
      <c r="E198" s="9">
        <v>700</v>
      </c>
      <c r="F198" s="9">
        <v>200</v>
      </c>
      <c r="G198" s="9">
        <v>70</v>
      </c>
      <c r="H198" s="9">
        <v>7.5439999999999996</v>
      </c>
      <c r="I198" s="9">
        <v>1501.194</v>
      </c>
      <c r="J198" s="9">
        <v>0</v>
      </c>
      <c r="K198" s="9" t="b">
        <v>1</v>
      </c>
      <c r="L198" s="10">
        <v>46232.857638888891</v>
      </c>
      <c r="M198" s="29" t="str">
        <f t="shared" si="24"/>
        <v>238829520 -&gt; 5990070#1 | t=500 | 29/07/2026 20:35</v>
      </c>
      <c r="N198" s="1" t="str">
        <f t="shared" si="25"/>
        <v>3 min 20 s</v>
      </c>
      <c r="O198" s="6">
        <f t="shared" si="26"/>
        <v>27.1584</v>
      </c>
      <c r="P198" s="23">
        <f t="shared" si="27"/>
        <v>1.5011939999999999</v>
      </c>
      <c r="Q198" s="4">
        <f t="shared" si="28"/>
        <v>2.3148148148148147E-3</v>
      </c>
      <c r="R198" s="1" t="str">
        <f t="shared" si="29"/>
        <v/>
      </c>
      <c r="S198" s="7" t="str">
        <f t="shared" si="30"/>
        <v/>
      </c>
      <c r="T198" s="1" t="str">
        <f t="shared" si="31"/>
        <v>Referencia</v>
      </c>
    </row>
    <row r="199" spans="1:20" x14ac:dyDescent="0.3">
      <c r="A199" s="9" t="s">
        <v>13</v>
      </c>
      <c r="B199" s="9" t="s">
        <v>22</v>
      </c>
      <c r="C199" s="9" t="s">
        <v>24</v>
      </c>
      <c r="D199" s="9">
        <v>500</v>
      </c>
      <c r="E199" s="9">
        <v>687</v>
      </c>
      <c r="F199" s="9">
        <v>187</v>
      </c>
      <c r="G199" s="9">
        <v>2</v>
      </c>
      <c r="H199" s="9">
        <v>9.6509999999999998</v>
      </c>
      <c r="I199" s="9">
        <v>1795.03</v>
      </c>
      <c r="J199" s="9">
        <v>5</v>
      </c>
      <c r="K199" s="9" t="b">
        <v>1</v>
      </c>
      <c r="L199" s="10">
        <v>46232.857638888891</v>
      </c>
      <c r="M199" s="29" t="str">
        <f t="shared" si="24"/>
        <v>238829520 -&gt; 5990070#1 | t=500 | 29/07/2026 20:35</v>
      </c>
      <c r="N199" s="1" t="str">
        <f t="shared" si="25"/>
        <v>3 min 07 s</v>
      </c>
      <c r="O199" s="6">
        <f t="shared" si="26"/>
        <v>34.743600000000001</v>
      </c>
      <c r="P199" s="23">
        <f t="shared" si="27"/>
        <v>1.7950299999999999</v>
      </c>
      <c r="Q199" s="4">
        <f t="shared" si="28"/>
        <v>2.3148148148148147E-3</v>
      </c>
      <c r="R199" s="1" t="str">
        <f t="shared" si="29"/>
        <v>0 min 13 s</v>
      </c>
      <c r="S199" s="7">
        <f t="shared" si="30"/>
        <v>6.4999999999999988E-2</v>
      </c>
      <c r="T199" s="1" t="str">
        <f t="shared" si="31"/>
        <v>Mejora</v>
      </c>
    </row>
    <row r="200" spans="1:20" x14ac:dyDescent="0.3">
      <c r="A200" s="9" t="s">
        <v>12</v>
      </c>
      <c r="B200" s="9" t="s">
        <v>22</v>
      </c>
      <c r="C200" s="9" t="s">
        <v>24</v>
      </c>
      <c r="D200" s="9">
        <v>500</v>
      </c>
      <c r="E200" s="9">
        <v>700</v>
      </c>
      <c r="F200" s="9">
        <v>200</v>
      </c>
      <c r="G200" s="9">
        <v>70</v>
      </c>
      <c r="H200" s="9">
        <v>7.5439999999999996</v>
      </c>
      <c r="I200" s="9">
        <v>1501.194</v>
      </c>
      <c r="J200" s="9">
        <v>0</v>
      </c>
      <c r="K200" s="9" t="b">
        <v>1</v>
      </c>
      <c r="L200" s="10">
        <v>46232.857638888891</v>
      </c>
      <c r="M200" s="29" t="str">
        <f t="shared" si="24"/>
        <v>238829520 -&gt; 5990070#1 | t=500 | 29/07/2026 20:35</v>
      </c>
      <c r="N200" s="1" t="str">
        <f t="shared" si="25"/>
        <v>3 min 20 s</v>
      </c>
      <c r="O200" s="6">
        <f t="shared" si="26"/>
        <v>27.1584</v>
      </c>
      <c r="P200" s="23">
        <f t="shared" si="27"/>
        <v>1.5011939999999999</v>
      </c>
      <c r="Q200" s="4">
        <f t="shared" si="28"/>
        <v>2.3148148148148147E-3</v>
      </c>
      <c r="R200" s="1" t="str">
        <f t="shared" si="29"/>
        <v/>
      </c>
      <c r="S200" s="7" t="str">
        <f t="shared" si="30"/>
        <v/>
      </c>
      <c r="T200" s="1" t="str">
        <f t="shared" si="31"/>
        <v>Referencia</v>
      </c>
    </row>
    <row r="201" spans="1:20" x14ac:dyDescent="0.3">
      <c r="A201" s="9" t="s">
        <v>12</v>
      </c>
      <c r="B201" s="9" t="s">
        <v>22</v>
      </c>
      <c r="C201" s="9" t="s">
        <v>24</v>
      </c>
      <c r="D201" s="9">
        <v>500</v>
      </c>
      <c r="E201" s="9">
        <v>699</v>
      </c>
      <c r="F201" s="9">
        <v>199</v>
      </c>
      <c r="G201" s="9">
        <v>70</v>
      </c>
      <c r="H201" s="9">
        <v>7.6</v>
      </c>
      <c r="I201" s="9">
        <v>1504.826</v>
      </c>
      <c r="J201" s="9">
        <v>0</v>
      </c>
      <c r="K201" s="9" t="b">
        <v>1</v>
      </c>
      <c r="L201" s="10">
        <v>46232.861111111109</v>
      </c>
      <c r="M201" s="29" t="str">
        <f t="shared" si="24"/>
        <v>238829520 -&gt; 5990070#1 | t=500 | 29/07/2026 20:40</v>
      </c>
      <c r="N201" s="1" t="str">
        <f t="shared" si="25"/>
        <v>3 min 19 s</v>
      </c>
      <c r="O201" s="6">
        <f t="shared" si="26"/>
        <v>27.36</v>
      </c>
      <c r="P201" s="23">
        <f t="shared" si="27"/>
        <v>1.504826</v>
      </c>
      <c r="Q201" s="4">
        <f t="shared" si="28"/>
        <v>2.3032407407407407E-3</v>
      </c>
      <c r="R201" s="1" t="str">
        <f t="shared" si="29"/>
        <v/>
      </c>
      <c r="S201" s="7" t="str">
        <f t="shared" si="30"/>
        <v/>
      </c>
      <c r="T201" s="1" t="str">
        <f t="shared" si="31"/>
        <v>Referencia</v>
      </c>
    </row>
    <row r="202" spans="1:20" x14ac:dyDescent="0.3">
      <c r="A202" s="9" t="s">
        <v>13</v>
      </c>
      <c r="B202" s="9" t="s">
        <v>22</v>
      </c>
      <c r="C202" s="9" t="s">
        <v>24</v>
      </c>
      <c r="D202" s="9">
        <v>500</v>
      </c>
      <c r="E202" s="9">
        <v>651</v>
      </c>
      <c r="F202" s="9">
        <v>151</v>
      </c>
      <c r="G202" s="9">
        <v>1</v>
      </c>
      <c r="H202" s="9">
        <v>11.951000000000001</v>
      </c>
      <c r="I202" s="9">
        <v>1792.6289999999999</v>
      </c>
      <c r="J202" s="9">
        <v>5</v>
      </c>
      <c r="K202" s="9" t="b">
        <v>1</v>
      </c>
      <c r="L202" s="10">
        <v>46232.861111111109</v>
      </c>
      <c r="M202" s="29" t="str">
        <f t="shared" si="24"/>
        <v>238829520 -&gt; 5990070#1 | t=500 | 29/07/2026 20:40</v>
      </c>
      <c r="N202" s="1" t="str">
        <f t="shared" si="25"/>
        <v>2 min 31 s</v>
      </c>
      <c r="O202" s="6">
        <f t="shared" si="26"/>
        <v>43.023600000000002</v>
      </c>
      <c r="P202" s="23">
        <f t="shared" si="27"/>
        <v>1.7926289999999998</v>
      </c>
      <c r="Q202" s="4">
        <f t="shared" si="28"/>
        <v>2.3032407407407407E-3</v>
      </c>
      <c r="R202" s="1" t="str">
        <f t="shared" si="29"/>
        <v>0 min 48 s</v>
      </c>
      <c r="S202" s="7">
        <f t="shared" si="30"/>
        <v>0.24120603015075373</v>
      </c>
      <c r="T202" s="1" t="str">
        <f t="shared" si="31"/>
        <v>Mejora</v>
      </c>
    </row>
    <row r="203" spans="1:20" x14ac:dyDescent="0.3">
      <c r="A203" s="9" t="s">
        <v>12</v>
      </c>
      <c r="B203" s="9" t="s">
        <v>22</v>
      </c>
      <c r="C203" s="9" t="s">
        <v>24</v>
      </c>
      <c r="D203" s="9">
        <v>500</v>
      </c>
      <c r="E203" s="9">
        <v>700</v>
      </c>
      <c r="F203" s="9">
        <v>200</v>
      </c>
      <c r="G203" s="9">
        <v>69</v>
      </c>
      <c r="H203" s="9">
        <v>7.58</v>
      </c>
      <c r="I203" s="9">
        <v>1508.327</v>
      </c>
      <c r="J203" s="9">
        <v>0</v>
      </c>
      <c r="K203" s="9" t="b">
        <v>1</v>
      </c>
      <c r="L203" s="10">
        <v>46233.770833333336</v>
      </c>
      <c r="M203" s="29" t="str">
        <f t="shared" si="24"/>
        <v>238829520 -&gt; 5990070#1 | t=500 | 30/07/2026 18:30</v>
      </c>
      <c r="N203" s="1" t="str">
        <f t="shared" si="25"/>
        <v>3 min 20 s</v>
      </c>
      <c r="O203" s="6">
        <f t="shared" si="26"/>
        <v>27.288</v>
      </c>
      <c r="P203" s="23">
        <f t="shared" si="27"/>
        <v>1.508327</v>
      </c>
      <c r="Q203" s="4">
        <f t="shared" si="28"/>
        <v>2.3148148148148147E-3</v>
      </c>
      <c r="R203" s="1" t="str">
        <f t="shared" si="29"/>
        <v/>
      </c>
      <c r="S203" s="7" t="str">
        <f t="shared" si="30"/>
        <v/>
      </c>
      <c r="T203" s="1" t="str">
        <f t="shared" si="31"/>
        <v>Referencia</v>
      </c>
    </row>
    <row r="204" spans="1:20" x14ac:dyDescent="0.3">
      <c r="A204" s="9" t="s">
        <v>13</v>
      </c>
      <c r="B204" s="9" t="s">
        <v>22</v>
      </c>
      <c r="C204" s="9" t="s">
        <v>24</v>
      </c>
      <c r="D204" s="9">
        <v>500</v>
      </c>
      <c r="E204" s="9">
        <v>681</v>
      </c>
      <c r="F204" s="9">
        <v>181</v>
      </c>
      <c r="G204" s="9">
        <v>1</v>
      </c>
      <c r="H204" s="9">
        <v>9.9700000000000006</v>
      </c>
      <c r="I204" s="9">
        <v>1794.5160000000001</v>
      </c>
      <c r="J204" s="9">
        <v>6</v>
      </c>
      <c r="K204" s="9" t="b">
        <v>1</v>
      </c>
      <c r="L204" s="10">
        <v>46233.770833333336</v>
      </c>
      <c r="M204" s="29" t="str">
        <f t="shared" si="24"/>
        <v>238829520 -&gt; 5990070#1 | t=500 | 30/07/2026 18:30</v>
      </c>
      <c r="N204" s="1" t="str">
        <f t="shared" si="25"/>
        <v>3 min 01 s</v>
      </c>
      <c r="O204" s="6">
        <f t="shared" si="26"/>
        <v>35.892000000000003</v>
      </c>
      <c r="P204" s="23">
        <f t="shared" si="27"/>
        <v>1.794516</v>
      </c>
      <c r="Q204" s="4">
        <f t="shared" si="28"/>
        <v>2.3148148148148147E-3</v>
      </c>
      <c r="R204" s="1" t="str">
        <f t="shared" si="29"/>
        <v>0 min 19 s</v>
      </c>
      <c r="S204" s="7">
        <f t="shared" si="30"/>
        <v>9.4999999999999987E-2</v>
      </c>
      <c r="T204" s="1" t="str">
        <f t="shared" si="31"/>
        <v>Mejora</v>
      </c>
    </row>
    <row r="205" spans="1:20" x14ac:dyDescent="0.3">
      <c r="A205" s="9" t="s">
        <v>12</v>
      </c>
      <c r="B205" s="9" t="s">
        <v>22</v>
      </c>
      <c r="C205" s="9" t="s">
        <v>47</v>
      </c>
      <c r="D205" s="9">
        <v>500</v>
      </c>
      <c r="E205" s="9">
        <v>1041</v>
      </c>
      <c r="F205" s="9">
        <v>541</v>
      </c>
      <c r="G205" s="9">
        <v>273</v>
      </c>
      <c r="H205" s="9">
        <v>3.76</v>
      </c>
      <c r="I205" s="9">
        <v>2030.443</v>
      </c>
      <c r="J205" s="9">
        <v>0</v>
      </c>
      <c r="K205" s="9" t="b">
        <v>1</v>
      </c>
      <c r="L205" s="10">
        <v>46233.770833333336</v>
      </c>
      <c r="M205" s="29" t="str">
        <f t="shared" si="24"/>
        <v>238829520 -&gt; 5990532 | t=500 | 30/07/2026 18:30</v>
      </c>
      <c r="N205" s="1" t="str">
        <f t="shared" si="25"/>
        <v>9 min 01 s</v>
      </c>
      <c r="O205" s="6">
        <f t="shared" si="26"/>
        <v>13.536</v>
      </c>
      <c r="P205" s="23">
        <f t="shared" si="27"/>
        <v>2.030443</v>
      </c>
      <c r="Q205" s="4">
        <f t="shared" si="28"/>
        <v>6.2615740740740739E-3</v>
      </c>
      <c r="R205" s="1" t="str">
        <f t="shared" si="29"/>
        <v/>
      </c>
      <c r="S205" s="7" t="str">
        <f t="shared" si="30"/>
        <v/>
      </c>
      <c r="T205" s="1" t="str">
        <f t="shared" si="31"/>
        <v>Referencia</v>
      </c>
    </row>
    <row r="206" spans="1:20" x14ac:dyDescent="0.3">
      <c r="A206" s="9" t="s">
        <v>13</v>
      </c>
      <c r="B206" s="9" t="s">
        <v>22</v>
      </c>
      <c r="C206" s="9" t="s">
        <v>47</v>
      </c>
      <c r="D206" s="9">
        <v>500</v>
      </c>
      <c r="E206" s="9">
        <v>1043</v>
      </c>
      <c r="F206" s="9">
        <v>543</v>
      </c>
      <c r="G206" s="9">
        <v>282</v>
      </c>
      <c r="H206" s="9">
        <v>4.1589999999999998</v>
      </c>
      <c r="I206" s="9">
        <v>2254.3870000000002</v>
      </c>
      <c r="J206" s="9">
        <v>7</v>
      </c>
      <c r="K206" s="9" t="b">
        <v>1</v>
      </c>
      <c r="L206" s="10">
        <v>46233.770833333336</v>
      </c>
      <c r="M206" s="29" t="str">
        <f t="shared" si="24"/>
        <v>238829520 -&gt; 5990532 | t=500 | 30/07/2026 18:30</v>
      </c>
      <c r="N206" s="1" t="str">
        <f t="shared" si="25"/>
        <v>9 min 03 s</v>
      </c>
      <c r="O206" s="6">
        <f t="shared" si="26"/>
        <v>14.9724</v>
      </c>
      <c r="P206" s="23">
        <f t="shared" si="27"/>
        <v>2.2543870000000004</v>
      </c>
      <c r="Q206" s="4">
        <f t="shared" si="28"/>
        <v>6.2615740740740739E-3</v>
      </c>
      <c r="R206" s="1" t="str">
        <f t="shared" si="29"/>
        <v>-0 min 02 s</v>
      </c>
      <c r="S206" s="7">
        <f t="shared" si="30"/>
        <v>-3.6968576709796451E-3</v>
      </c>
      <c r="T206" s="1" t="str">
        <f t="shared" si="31"/>
        <v>Empeora</v>
      </c>
    </row>
    <row r="207" spans="1:20" x14ac:dyDescent="0.3">
      <c r="A207" s="9" t="s">
        <v>12</v>
      </c>
      <c r="B207" s="9" t="s">
        <v>22</v>
      </c>
      <c r="C207" s="9" t="s">
        <v>24</v>
      </c>
      <c r="D207" s="9">
        <v>500</v>
      </c>
      <c r="E207" s="9">
        <v>699</v>
      </c>
      <c r="F207" s="9">
        <v>199</v>
      </c>
      <c r="G207" s="9">
        <v>69</v>
      </c>
      <c r="H207" s="9">
        <v>7.5759999999999996</v>
      </c>
      <c r="I207" s="9">
        <v>1500.127</v>
      </c>
      <c r="J207" s="9">
        <v>0</v>
      </c>
      <c r="K207" s="9" t="b">
        <v>1</v>
      </c>
      <c r="L207" s="10">
        <v>46233.788194444445</v>
      </c>
      <c r="M207" s="29" t="str">
        <f t="shared" si="24"/>
        <v>238829520 -&gt; 5990070#1 | t=500 | 30/07/2026 18:55</v>
      </c>
      <c r="N207" s="1" t="str">
        <f t="shared" si="25"/>
        <v>3 min 19 s</v>
      </c>
      <c r="O207" s="6">
        <f t="shared" si="26"/>
        <v>27.273599999999998</v>
      </c>
      <c r="P207" s="23">
        <f t="shared" si="27"/>
        <v>1.500127</v>
      </c>
      <c r="Q207" s="4">
        <f t="shared" si="28"/>
        <v>2.3032407407407407E-3</v>
      </c>
      <c r="R207" s="1" t="str">
        <f t="shared" si="29"/>
        <v/>
      </c>
      <c r="S207" s="7" t="str">
        <f t="shared" si="30"/>
        <v/>
      </c>
      <c r="T207" s="1" t="str">
        <f t="shared" si="31"/>
        <v>Referencia</v>
      </c>
    </row>
    <row r="208" spans="1:20" x14ac:dyDescent="0.3">
      <c r="A208" s="9" t="s">
        <v>13</v>
      </c>
      <c r="B208" s="9" t="s">
        <v>22</v>
      </c>
      <c r="C208" s="9" t="s">
        <v>24</v>
      </c>
      <c r="D208" s="9">
        <v>500</v>
      </c>
      <c r="E208" s="9">
        <v>651</v>
      </c>
      <c r="F208" s="9">
        <v>151</v>
      </c>
      <c r="G208" s="9">
        <v>1</v>
      </c>
      <c r="H208" s="9">
        <v>11.962999999999999</v>
      </c>
      <c r="I208" s="9">
        <v>1794.502</v>
      </c>
      <c r="J208" s="9">
        <v>5</v>
      </c>
      <c r="K208" s="9" t="b">
        <v>1</v>
      </c>
      <c r="L208" s="10">
        <v>46233.791666666664</v>
      </c>
      <c r="M208" s="29" t="str">
        <f t="shared" si="24"/>
        <v>238829520 -&gt; 5990070#1 | t=500 | 30/07/2026 19:00</v>
      </c>
      <c r="N208" s="1" t="str">
        <f t="shared" si="25"/>
        <v>2 min 31 s</v>
      </c>
      <c r="O208" s="6">
        <f t="shared" si="26"/>
        <v>43.066800000000001</v>
      </c>
      <c r="P208" s="23">
        <f t="shared" si="27"/>
        <v>1.794502</v>
      </c>
      <c r="Q208" s="4" t="str">
        <f t="shared" si="28"/>
        <v/>
      </c>
      <c r="R208" s="1" t="str">
        <f t="shared" si="29"/>
        <v/>
      </c>
      <c r="S208" s="7" t="str">
        <f t="shared" si="30"/>
        <v/>
      </c>
      <c r="T208" s="1" t="str">
        <f t="shared" si="31"/>
        <v>Sin referencia</v>
      </c>
    </row>
    <row r="209" spans="1:20" x14ac:dyDescent="0.3">
      <c r="A209" s="9" t="s">
        <v>12</v>
      </c>
      <c r="B209" s="9" t="s">
        <v>22</v>
      </c>
      <c r="C209" s="9" t="s">
        <v>24</v>
      </c>
      <c r="D209" s="9">
        <v>500</v>
      </c>
      <c r="E209" s="9">
        <v>699</v>
      </c>
      <c r="F209" s="9">
        <v>199</v>
      </c>
      <c r="G209" s="9">
        <v>64</v>
      </c>
      <c r="H209" s="9">
        <v>7.617</v>
      </c>
      <c r="I209" s="9">
        <v>1508.135</v>
      </c>
      <c r="J209" s="9">
        <v>0</v>
      </c>
      <c r="K209" s="9" t="b">
        <v>1</v>
      </c>
      <c r="L209" s="10">
        <v>46233.826388888891</v>
      </c>
      <c r="M209" s="29" t="str">
        <f t="shared" si="24"/>
        <v>238829520 -&gt; 5990070#1 | t=500 | 30/07/2026 19:50</v>
      </c>
      <c r="N209" s="1" t="str">
        <f t="shared" si="25"/>
        <v>3 min 19 s</v>
      </c>
      <c r="O209" s="6">
        <f t="shared" si="26"/>
        <v>27.421199999999999</v>
      </c>
      <c r="P209" s="23">
        <f t="shared" si="27"/>
        <v>1.508135</v>
      </c>
      <c r="Q209" s="4">
        <f t="shared" si="28"/>
        <v>2.3032407407407407E-3</v>
      </c>
      <c r="R209" s="1" t="str">
        <f t="shared" si="29"/>
        <v/>
      </c>
      <c r="S209" s="7" t="str">
        <f t="shared" si="30"/>
        <v/>
      </c>
      <c r="T209" s="1" t="str">
        <f t="shared" si="31"/>
        <v>Referencia</v>
      </c>
    </row>
    <row r="210" spans="1:20" x14ac:dyDescent="0.3">
      <c r="A210" s="9" t="s">
        <v>13</v>
      </c>
      <c r="B210" s="9" t="s">
        <v>22</v>
      </c>
      <c r="C210" s="9" t="s">
        <v>24</v>
      </c>
      <c r="D210" s="9">
        <v>500</v>
      </c>
      <c r="E210" s="9">
        <v>650</v>
      </c>
      <c r="F210" s="9">
        <v>150</v>
      </c>
      <c r="G210" s="9">
        <v>1</v>
      </c>
      <c r="H210" s="9">
        <v>11.981</v>
      </c>
      <c r="I210" s="9">
        <v>1785.2149999999999</v>
      </c>
      <c r="J210" s="9">
        <v>5</v>
      </c>
      <c r="K210" s="9" t="b">
        <v>1</v>
      </c>
      <c r="L210" s="10">
        <v>46233.826388888891</v>
      </c>
      <c r="M210" s="29" t="str">
        <f t="shared" si="24"/>
        <v>238829520 -&gt; 5990070#1 | t=500 | 30/07/2026 19:50</v>
      </c>
      <c r="N210" s="1" t="str">
        <f t="shared" si="25"/>
        <v>2 min 30 s</v>
      </c>
      <c r="O210" s="6">
        <f t="shared" si="26"/>
        <v>43.131599999999999</v>
      </c>
      <c r="P210" s="23">
        <f t="shared" si="27"/>
        <v>1.785215</v>
      </c>
      <c r="Q210" s="4">
        <f t="shared" si="28"/>
        <v>2.3032407407407407E-3</v>
      </c>
      <c r="R210" s="1" t="str">
        <f t="shared" si="29"/>
        <v>0 min 49 s</v>
      </c>
      <c r="S210" s="7">
        <f t="shared" si="30"/>
        <v>0.24623115577889448</v>
      </c>
      <c r="T210" s="1" t="str">
        <f t="shared" si="31"/>
        <v>Mejora</v>
      </c>
    </row>
    <row r="211" spans="1:20" x14ac:dyDescent="0.3">
      <c r="A211" s="9" t="s">
        <v>12</v>
      </c>
      <c r="B211" s="9" t="s">
        <v>22</v>
      </c>
      <c r="C211" s="9" t="s">
        <v>51</v>
      </c>
      <c r="D211" s="9">
        <v>500</v>
      </c>
      <c r="E211" s="9">
        <v>718</v>
      </c>
      <c r="F211" s="9">
        <v>218</v>
      </c>
      <c r="G211" s="9">
        <v>63</v>
      </c>
      <c r="H211" s="9">
        <v>7.6390000000000002</v>
      </c>
      <c r="I211" s="9">
        <v>1657.7059999999999</v>
      </c>
      <c r="J211" s="9">
        <v>0</v>
      </c>
      <c r="K211" s="9" t="b">
        <v>1</v>
      </c>
      <c r="L211" s="10">
        <v>46234.447916666664</v>
      </c>
      <c r="M211" s="29" t="str">
        <f t="shared" si="24"/>
        <v>238829520 -&gt; 5990070#2 | t=500 | 31/07/2026 10:45</v>
      </c>
      <c r="N211" s="1" t="str">
        <f t="shared" si="25"/>
        <v>3 min 38 s</v>
      </c>
      <c r="O211" s="6">
        <f t="shared" si="26"/>
        <v>27.500400000000003</v>
      </c>
      <c r="P211" s="23">
        <f t="shared" si="27"/>
        <v>1.6577059999999999</v>
      </c>
      <c r="Q211" s="4">
        <f t="shared" si="28"/>
        <v>2.5231481481481481E-3</v>
      </c>
      <c r="R211" s="1" t="str">
        <f t="shared" si="29"/>
        <v/>
      </c>
      <c r="S211" s="7" t="str">
        <f t="shared" si="30"/>
        <v/>
      </c>
      <c r="T211" s="1" t="str">
        <f t="shared" si="31"/>
        <v>Referencia</v>
      </c>
    </row>
    <row r="212" spans="1:20" x14ac:dyDescent="0.3">
      <c r="A212" s="9" t="s">
        <v>13</v>
      </c>
      <c r="B212" s="9" t="s">
        <v>22</v>
      </c>
      <c r="C212" s="9" t="s">
        <v>51</v>
      </c>
      <c r="D212" s="9">
        <v>500</v>
      </c>
      <c r="E212" s="9">
        <v>657</v>
      </c>
      <c r="F212" s="9">
        <v>157</v>
      </c>
      <c r="G212" s="9">
        <v>1</v>
      </c>
      <c r="H212" s="9">
        <v>12.13</v>
      </c>
      <c r="I212" s="9">
        <v>1892.329</v>
      </c>
      <c r="J212" s="9">
        <v>4</v>
      </c>
      <c r="K212" s="9" t="b">
        <v>1</v>
      </c>
      <c r="L212" s="10">
        <v>46234.447916666664</v>
      </c>
      <c r="M212" s="29" t="str">
        <f t="shared" si="24"/>
        <v>238829520 -&gt; 5990070#2 | t=500 | 31/07/2026 10:45</v>
      </c>
      <c r="N212" s="1" t="str">
        <f t="shared" si="25"/>
        <v>2 min 37 s</v>
      </c>
      <c r="O212" s="6">
        <f t="shared" si="26"/>
        <v>43.668000000000006</v>
      </c>
      <c r="P212" s="23">
        <f t="shared" si="27"/>
        <v>1.8923289999999999</v>
      </c>
      <c r="Q212" s="4">
        <f t="shared" si="28"/>
        <v>2.5231481481481481E-3</v>
      </c>
      <c r="R212" s="1" t="str">
        <f t="shared" si="29"/>
        <v>1 min 01 s</v>
      </c>
      <c r="S212" s="7">
        <f t="shared" si="30"/>
        <v>0.27981651376146782</v>
      </c>
      <c r="T212" s="1" t="str">
        <f t="shared" si="31"/>
        <v>Mejora</v>
      </c>
    </row>
    <row r="213" spans="1:20" x14ac:dyDescent="0.3">
      <c r="A213" s="9" t="s">
        <v>12</v>
      </c>
      <c r="B213" s="9" t="s">
        <v>22</v>
      </c>
      <c r="C213" s="9" t="s">
        <v>24</v>
      </c>
      <c r="D213" s="9">
        <v>500</v>
      </c>
      <c r="E213" s="9">
        <v>699</v>
      </c>
      <c r="F213" s="9">
        <v>199</v>
      </c>
      <c r="G213" s="9">
        <v>70</v>
      </c>
      <c r="H213" s="9">
        <v>7.6059999999999999</v>
      </c>
      <c r="I213" s="9">
        <v>1505.9880000000001</v>
      </c>
      <c r="J213" s="9">
        <v>0</v>
      </c>
      <c r="K213" s="9" t="b">
        <v>1</v>
      </c>
      <c r="L213" s="10">
        <v>46234.447916666664</v>
      </c>
      <c r="M213" s="29" t="str">
        <f t="shared" si="24"/>
        <v>238829520 -&gt; 5990070#1 | t=500 | 31/07/2026 10:45</v>
      </c>
      <c r="N213" s="1" t="str">
        <f t="shared" si="25"/>
        <v>3 min 19 s</v>
      </c>
      <c r="O213" s="6">
        <f t="shared" si="26"/>
        <v>27.381599999999999</v>
      </c>
      <c r="P213" s="23">
        <f t="shared" si="27"/>
        <v>1.5059880000000001</v>
      </c>
      <c r="Q213" s="4">
        <f t="shared" si="28"/>
        <v>2.3032407407407407E-3</v>
      </c>
      <c r="R213" s="1" t="str">
        <f t="shared" si="29"/>
        <v/>
      </c>
      <c r="S213" s="7" t="str">
        <f t="shared" si="30"/>
        <v/>
      </c>
      <c r="T213" s="1" t="str">
        <f t="shared" si="31"/>
        <v>Referencia</v>
      </c>
    </row>
    <row r="214" spans="1:20" x14ac:dyDescent="0.3">
      <c r="A214" s="9" t="s">
        <v>13</v>
      </c>
      <c r="B214" s="9" t="s">
        <v>22</v>
      </c>
      <c r="C214" s="9" t="s">
        <v>24</v>
      </c>
      <c r="D214" s="9">
        <v>500</v>
      </c>
      <c r="E214" s="9">
        <v>650</v>
      </c>
      <c r="F214" s="9">
        <v>150</v>
      </c>
      <c r="G214" s="9">
        <v>1</v>
      </c>
      <c r="H214" s="9">
        <v>12.064</v>
      </c>
      <c r="I214" s="9">
        <v>1797.4849999999999</v>
      </c>
      <c r="J214" s="9">
        <v>4</v>
      </c>
      <c r="K214" s="9" t="b">
        <v>1</v>
      </c>
      <c r="L214" s="10">
        <v>46234.447916666664</v>
      </c>
      <c r="M214" s="29" t="str">
        <f t="shared" si="24"/>
        <v>238829520 -&gt; 5990070#1 | t=500 | 31/07/2026 10:45</v>
      </c>
      <c r="N214" s="1" t="str">
        <f t="shared" si="25"/>
        <v>2 min 30 s</v>
      </c>
      <c r="O214" s="6">
        <f t="shared" si="26"/>
        <v>43.430399999999999</v>
      </c>
      <c r="P214" s="23">
        <f t="shared" si="27"/>
        <v>1.797485</v>
      </c>
      <c r="Q214" s="4">
        <f t="shared" si="28"/>
        <v>2.3032407407407407E-3</v>
      </c>
      <c r="R214" s="1" t="str">
        <f t="shared" si="29"/>
        <v>0 min 49 s</v>
      </c>
      <c r="S214" s="7">
        <f t="shared" si="30"/>
        <v>0.24623115577889448</v>
      </c>
      <c r="T214" s="1" t="str">
        <f t="shared" si="31"/>
        <v>Mejora</v>
      </c>
    </row>
    <row r="215" spans="1:20" x14ac:dyDescent="0.3">
      <c r="A215" s="9" t="s">
        <v>12</v>
      </c>
      <c r="B215" s="9" t="s">
        <v>24</v>
      </c>
      <c r="C215" s="9" t="s">
        <v>22</v>
      </c>
      <c r="D215" s="9">
        <v>501</v>
      </c>
      <c r="E215" s="9">
        <v>648</v>
      </c>
      <c r="F215" s="9">
        <v>147</v>
      </c>
      <c r="G215" s="9">
        <v>1</v>
      </c>
      <c r="H215" s="9">
        <v>11.069000000000001</v>
      </c>
      <c r="I215" s="9">
        <v>1616.0740000000001</v>
      </c>
      <c r="J215" s="9">
        <v>0</v>
      </c>
      <c r="K215" s="9" t="b">
        <v>1</v>
      </c>
      <c r="L215" s="10">
        <v>46234.451388888891</v>
      </c>
      <c r="M215" s="29" t="str">
        <f t="shared" si="24"/>
        <v>5990070#1 -&gt; 238829520 | t=501 | 31/07/2026 10:50</v>
      </c>
      <c r="N215" s="1" t="str">
        <f t="shared" si="25"/>
        <v>2 min 27 s</v>
      </c>
      <c r="O215" s="6">
        <f t="shared" si="26"/>
        <v>39.848400000000005</v>
      </c>
      <c r="P215" s="23">
        <f t="shared" si="27"/>
        <v>1.616074</v>
      </c>
      <c r="Q215" s="4">
        <f t="shared" si="28"/>
        <v>1.7013888888888888E-3</v>
      </c>
      <c r="R215" s="1" t="str">
        <f t="shared" si="29"/>
        <v/>
      </c>
      <c r="S215" s="7" t="str">
        <f t="shared" si="30"/>
        <v/>
      </c>
      <c r="T215" s="1" t="str">
        <f t="shared" si="31"/>
        <v>Referencia</v>
      </c>
    </row>
    <row r="216" spans="1:20" x14ac:dyDescent="0.3">
      <c r="A216" s="9" t="s">
        <v>13</v>
      </c>
      <c r="B216" s="9" t="s">
        <v>24</v>
      </c>
      <c r="C216" s="9" t="s">
        <v>22</v>
      </c>
      <c r="D216" s="9">
        <v>501</v>
      </c>
      <c r="E216" s="9">
        <v>648</v>
      </c>
      <c r="F216" s="9">
        <v>147</v>
      </c>
      <c r="G216" s="9">
        <v>1</v>
      </c>
      <c r="H216" s="9">
        <v>11.069000000000001</v>
      </c>
      <c r="I216" s="9">
        <v>1616.0740000000001</v>
      </c>
      <c r="J216" s="9">
        <v>1</v>
      </c>
      <c r="K216" s="9" t="b">
        <v>1</v>
      </c>
      <c r="L216" s="10">
        <v>46234.451388888891</v>
      </c>
      <c r="M216" s="29" t="str">
        <f t="shared" si="24"/>
        <v>5990070#1 -&gt; 238829520 | t=501 | 31/07/2026 10:50</v>
      </c>
      <c r="N216" s="1" t="str">
        <f t="shared" si="25"/>
        <v>2 min 27 s</v>
      </c>
      <c r="O216" s="6">
        <f t="shared" si="26"/>
        <v>39.848400000000005</v>
      </c>
      <c r="P216" s="23">
        <f t="shared" si="27"/>
        <v>1.616074</v>
      </c>
      <c r="Q216" s="4">
        <f t="shared" si="28"/>
        <v>1.7013888888888888E-3</v>
      </c>
      <c r="R216" s="1" t="str">
        <f t="shared" si="29"/>
        <v>0 min 00 s</v>
      </c>
      <c r="S216" s="7">
        <f t="shared" si="30"/>
        <v>0</v>
      </c>
      <c r="T216" s="1" t="str">
        <f t="shared" si="31"/>
        <v>Igual</v>
      </c>
    </row>
    <row r="217" spans="1:20" x14ac:dyDescent="0.3">
      <c r="A217" s="9" t="s">
        <v>12</v>
      </c>
      <c r="B217" s="9" t="s">
        <v>22</v>
      </c>
      <c r="C217" s="9" t="s">
        <v>52</v>
      </c>
      <c r="D217" s="9">
        <v>500</v>
      </c>
      <c r="E217" s="9">
        <v>700</v>
      </c>
      <c r="F217" s="9">
        <v>200</v>
      </c>
      <c r="G217" s="9">
        <v>35</v>
      </c>
      <c r="H217" s="9">
        <v>7.12</v>
      </c>
      <c r="I217" s="9">
        <v>1416.9380000000001</v>
      </c>
      <c r="J217" s="9">
        <v>0</v>
      </c>
      <c r="K217" s="9" t="b">
        <v>1</v>
      </c>
      <c r="L217" s="10">
        <v>46234.451388888891</v>
      </c>
      <c r="M217" s="29" t="str">
        <f t="shared" si="24"/>
        <v>238829520 -&gt; 5990070#3 | t=500 | 31/07/2026 10:50</v>
      </c>
      <c r="N217" s="1" t="str">
        <f t="shared" si="25"/>
        <v>3 min 20 s</v>
      </c>
      <c r="O217" s="6">
        <f t="shared" si="26"/>
        <v>25.632000000000001</v>
      </c>
      <c r="P217" s="23">
        <f t="shared" si="27"/>
        <v>1.416938</v>
      </c>
      <c r="Q217" s="4">
        <f t="shared" si="28"/>
        <v>2.3148148148148147E-3</v>
      </c>
      <c r="R217" s="1" t="str">
        <f t="shared" si="29"/>
        <v/>
      </c>
      <c r="S217" s="7" t="str">
        <f t="shared" si="30"/>
        <v/>
      </c>
      <c r="T217" s="1" t="str">
        <f t="shared" si="31"/>
        <v>Referencia</v>
      </c>
    </row>
    <row r="218" spans="1:20" x14ac:dyDescent="0.3">
      <c r="A218" s="9" t="s">
        <v>13</v>
      </c>
      <c r="B218" s="9" t="s">
        <v>22</v>
      </c>
      <c r="C218" s="9" t="s">
        <v>52</v>
      </c>
      <c r="D218" s="9">
        <v>500</v>
      </c>
      <c r="E218" s="9">
        <v>674</v>
      </c>
      <c r="F218" s="9">
        <v>174</v>
      </c>
      <c r="G218" s="9">
        <v>6</v>
      </c>
      <c r="H218" s="9">
        <v>11.45</v>
      </c>
      <c r="I218" s="9">
        <v>1980.768</v>
      </c>
      <c r="J218" s="9">
        <v>6</v>
      </c>
      <c r="K218" s="9" t="b">
        <v>1</v>
      </c>
      <c r="L218" s="10">
        <v>46234.454861111109</v>
      </c>
      <c r="M218" s="29" t="str">
        <f t="shared" si="24"/>
        <v>238829520 -&gt; 5990070#3 | t=500 | 31/07/2026 10:55</v>
      </c>
      <c r="N218" s="1" t="str">
        <f t="shared" si="25"/>
        <v>2 min 54 s</v>
      </c>
      <c r="O218" s="6">
        <f t="shared" si="26"/>
        <v>41.22</v>
      </c>
      <c r="P218" s="23">
        <f t="shared" si="27"/>
        <v>1.9807680000000001</v>
      </c>
      <c r="Q218" s="4" t="str">
        <f t="shared" si="28"/>
        <v/>
      </c>
      <c r="R218" s="1" t="str">
        <f t="shared" si="29"/>
        <v/>
      </c>
      <c r="S218" s="7" t="str">
        <f t="shared" si="30"/>
        <v/>
      </c>
      <c r="T218" s="1" t="str">
        <f t="shared" si="31"/>
        <v>Sin referencia</v>
      </c>
    </row>
    <row r="219" spans="1:20" x14ac:dyDescent="0.3">
      <c r="A219" s="9" t="s">
        <v>12</v>
      </c>
      <c r="B219" s="9" t="s">
        <v>22</v>
      </c>
      <c r="C219" s="9" t="s">
        <v>52</v>
      </c>
      <c r="D219" s="9">
        <v>500</v>
      </c>
      <c r="E219" s="9">
        <v>674</v>
      </c>
      <c r="F219" s="9">
        <v>174</v>
      </c>
      <c r="G219" s="9">
        <v>31</v>
      </c>
      <c r="H219" s="9">
        <v>8.2070000000000007</v>
      </c>
      <c r="I219" s="9">
        <v>1419.865</v>
      </c>
      <c r="J219" s="9">
        <v>0</v>
      </c>
      <c r="K219" s="9" t="b">
        <v>1</v>
      </c>
      <c r="L219" s="10">
        <v>46234.458333333336</v>
      </c>
      <c r="M219" s="29" t="str">
        <f t="shared" si="24"/>
        <v>238829520 -&gt; 5990070#3 | t=500 | 31/07/2026 11:00</v>
      </c>
      <c r="N219" s="1" t="str">
        <f t="shared" si="25"/>
        <v>2 min 54 s</v>
      </c>
      <c r="O219" s="6">
        <f t="shared" si="26"/>
        <v>29.545200000000005</v>
      </c>
      <c r="P219" s="23">
        <f t="shared" si="27"/>
        <v>1.4198649999999999</v>
      </c>
      <c r="Q219" s="4">
        <f t="shared" si="28"/>
        <v>2.0138888888888888E-3</v>
      </c>
      <c r="R219" s="1" t="str">
        <f t="shared" si="29"/>
        <v/>
      </c>
      <c r="S219" s="7" t="str">
        <f t="shared" si="30"/>
        <v/>
      </c>
      <c r="T219" s="1" t="str">
        <f t="shared" si="31"/>
        <v>Referencia</v>
      </c>
    </row>
    <row r="220" spans="1:20" x14ac:dyDescent="0.3">
      <c r="A220" s="9" t="s">
        <v>13</v>
      </c>
      <c r="B220" s="9" t="s">
        <v>22</v>
      </c>
      <c r="C220" s="9" t="s">
        <v>52</v>
      </c>
      <c r="D220" s="9">
        <v>500</v>
      </c>
      <c r="E220" s="9">
        <v>674</v>
      </c>
      <c r="F220" s="9">
        <v>174</v>
      </c>
      <c r="G220" s="9">
        <v>6</v>
      </c>
      <c r="H220" s="9">
        <v>11.448</v>
      </c>
      <c r="I220" s="9">
        <v>1980.4670000000001</v>
      </c>
      <c r="J220" s="9">
        <v>6</v>
      </c>
      <c r="K220" s="9" t="b">
        <v>1</v>
      </c>
      <c r="L220" s="10">
        <v>46234.458333333336</v>
      </c>
      <c r="M220" s="29" t="str">
        <f t="shared" si="24"/>
        <v>238829520 -&gt; 5990070#3 | t=500 | 31/07/2026 11:00</v>
      </c>
      <c r="N220" s="1" t="str">
        <f t="shared" si="25"/>
        <v>2 min 54 s</v>
      </c>
      <c r="O220" s="6">
        <f t="shared" si="26"/>
        <v>41.212800000000001</v>
      </c>
      <c r="P220" s="23">
        <f t="shared" si="27"/>
        <v>1.9804670000000002</v>
      </c>
      <c r="Q220" s="4">
        <f t="shared" si="28"/>
        <v>2.0138888888888888E-3</v>
      </c>
      <c r="R220" s="1" t="str">
        <f t="shared" si="29"/>
        <v>0 min 00 s</v>
      </c>
      <c r="S220" s="7">
        <f t="shared" si="30"/>
        <v>0</v>
      </c>
      <c r="T220" s="1" t="str">
        <f t="shared" si="31"/>
        <v>Igual</v>
      </c>
    </row>
    <row r="221" spans="1:20" x14ac:dyDescent="0.3">
      <c r="A221" s="9" t="s">
        <v>12</v>
      </c>
      <c r="B221" s="9" t="s">
        <v>22</v>
      </c>
      <c r="C221" s="9" t="s">
        <v>24</v>
      </c>
      <c r="D221" s="9">
        <v>500</v>
      </c>
      <c r="E221" s="9">
        <v>699</v>
      </c>
      <c r="F221" s="9">
        <v>199</v>
      </c>
      <c r="G221" s="9">
        <v>67</v>
      </c>
      <c r="H221" s="9">
        <v>7.6</v>
      </c>
      <c r="I221" s="9">
        <v>1504.855</v>
      </c>
      <c r="J221" s="9">
        <v>0</v>
      </c>
      <c r="K221" s="9" t="b">
        <v>1</v>
      </c>
      <c r="L221" s="10">
        <v>46234.458333333336</v>
      </c>
      <c r="M221" s="29" t="str">
        <f t="shared" si="24"/>
        <v>238829520 -&gt; 5990070#1 | t=500 | 31/07/2026 11:00</v>
      </c>
      <c r="N221" s="1" t="str">
        <f t="shared" si="25"/>
        <v>3 min 19 s</v>
      </c>
      <c r="O221" s="6">
        <f t="shared" si="26"/>
        <v>27.36</v>
      </c>
      <c r="P221" s="23">
        <f t="shared" si="27"/>
        <v>1.5048550000000001</v>
      </c>
      <c r="Q221" s="4">
        <f t="shared" si="28"/>
        <v>2.3032407407407407E-3</v>
      </c>
      <c r="R221" s="1" t="str">
        <f t="shared" si="29"/>
        <v/>
      </c>
      <c r="S221" s="7" t="str">
        <f t="shared" si="30"/>
        <v/>
      </c>
      <c r="T221" s="1" t="str">
        <f t="shared" si="31"/>
        <v>Referencia</v>
      </c>
    </row>
    <row r="222" spans="1:20" x14ac:dyDescent="0.3">
      <c r="A222" s="9" t="s">
        <v>13</v>
      </c>
      <c r="B222" s="9" t="s">
        <v>22</v>
      </c>
      <c r="C222" s="9" t="s">
        <v>24</v>
      </c>
      <c r="D222" s="9">
        <v>500</v>
      </c>
      <c r="E222" s="9">
        <v>660</v>
      </c>
      <c r="F222" s="9">
        <v>160</v>
      </c>
      <c r="G222" s="9">
        <v>6</v>
      </c>
      <c r="H222" s="9">
        <v>11.266</v>
      </c>
      <c r="I222" s="9">
        <v>1791.3720000000001</v>
      </c>
      <c r="J222" s="9">
        <v>6</v>
      </c>
      <c r="K222" s="9" t="b">
        <v>1</v>
      </c>
      <c r="L222" s="10">
        <v>46234.458333333336</v>
      </c>
      <c r="M222" s="29" t="str">
        <f t="shared" si="24"/>
        <v>238829520 -&gt; 5990070#1 | t=500 | 31/07/2026 11:00</v>
      </c>
      <c r="N222" s="1" t="str">
        <f t="shared" si="25"/>
        <v>2 min 40 s</v>
      </c>
      <c r="O222" s="6">
        <f t="shared" si="26"/>
        <v>40.557600000000001</v>
      </c>
      <c r="P222" s="23">
        <f t="shared" si="27"/>
        <v>1.791372</v>
      </c>
      <c r="Q222" s="4">
        <f t="shared" si="28"/>
        <v>2.3032407407407407E-3</v>
      </c>
      <c r="R222" s="1" t="str">
        <f t="shared" si="29"/>
        <v>0 min 39 s</v>
      </c>
      <c r="S222" s="7">
        <f t="shared" si="30"/>
        <v>0.1959798994974874</v>
      </c>
      <c r="T222" s="1" t="str">
        <f t="shared" si="31"/>
        <v>Mejora</v>
      </c>
    </row>
    <row r="223" spans="1:20" x14ac:dyDescent="0.3">
      <c r="A223" s="9" t="s">
        <v>12</v>
      </c>
      <c r="B223" s="9" t="s">
        <v>22</v>
      </c>
      <c r="C223" s="9" t="s">
        <v>24</v>
      </c>
      <c r="D223" s="9">
        <v>500</v>
      </c>
      <c r="E223" s="9">
        <v>699</v>
      </c>
      <c r="F223" s="9">
        <v>199</v>
      </c>
      <c r="G223" s="9">
        <v>57</v>
      </c>
      <c r="H223" s="9">
        <v>7.6130000000000004</v>
      </c>
      <c r="I223" s="9">
        <v>1507.3230000000001</v>
      </c>
      <c r="J223" s="9">
        <v>0</v>
      </c>
      <c r="K223" s="9" t="b">
        <v>1</v>
      </c>
      <c r="L223" s="10">
        <v>46234.465277777781</v>
      </c>
      <c r="M223" s="29" t="str">
        <f t="shared" si="24"/>
        <v>238829520 -&gt; 5990070#1 | t=500 | 31/07/2026 11:10</v>
      </c>
      <c r="N223" s="1" t="str">
        <f t="shared" si="25"/>
        <v>3 min 19 s</v>
      </c>
      <c r="O223" s="6">
        <f t="shared" si="26"/>
        <v>27.4068</v>
      </c>
      <c r="P223" s="23">
        <f t="shared" si="27"/>
        <v>1.5073230000000002</v>
      </c>
      <c r="Q223" s="4">
        <f t="shared" si="28"/>
        <v>2.3032407407407407E-3</v>
      </c>
      <c r="R223" s="1" t="str">
        <f t="shared" si="29"/>
        <v/>
      </c>
      <c r="S223" s="7" t="str">
        <f t="shared" si="30"/>
        <v/>
      </c>
      <c r="T223" s="1" t="str">
        <f t="shared" si="31"/>
        <v>Referencia</v>
      </c>
    </row>
    <row r="224" spans="1:20" x14ac:dyDescent="0.3">
      <c r="A224" s="9" t="s">
        <v>13</v>
      </c>
      <c r="B224" s="9" t="s">
        <v>22</v>
      </c>
      <c r="C224" s="9" t="s">
        <v>24</v>
      </c>
      <c r="D224" s="9">
        <v>500</v>
      </c>
      <c r="E224" s="9">
        <v>686</v>
      </c>
      <c r="F224" s="9">
        <v>186</v>
      </c>
      <c r="G224" s="9">
        <v>3</v>
      </c>
      <c r="H224" s="9">
        <v>9.7029999999999994</v>
      </c>
      <c r="I224" s="9">
        <v>1795.0650000000001</v>
      </c>
      <c r="J224" s="9">
        <v>5</v>
      </c>
      <c r="K224" s="9" t="b">
        <v>1</v>
      </c>
      <c r="L224" s="10">
        <v>46234.465277777781</v>
      </c>
      <c r="M224" s="29" t="str">
        <f t="shared" si="24"/>
        <v>238829520 -&gt; 5990070#1 | t=500 | 31/07/2026 11:10</v>
      </c>
      <c r="N224" s="1" t="str">
        <f t="shared" si="25"/>
        <v>3 min 06 s</v>
      </c>
      <c r="O224" s="6">
        <f t="shared" si="26"/>
        <v>34.930799999999998</v>
      </c>
      <c r="P224" s="23">
        <f t="shared" si="27"/>
        <v>1.7950650000000001</v>
      </c>
      <c r="Q224" s="4">
        <f t="shared" si="28"/>
        <v>2.3032407407407407E-3</v>
      </c>
      <c r="R224" s="1" t="str">
        <f t="shared" si="29"/>
        <v>0 min 13 s</v>
      </c>
      <c r="S224" s="7">
        <f t="shared" si="30"/>
        <v>6.5326633165829123E-2</v>
      </c>
      <c r="T224" s="1" t="str">
        <f t="shared" si="31"/>
        <v>Mejora</v>
      </c>
    </row>
    <row r="225" spans="1:20" x14ac:dyDescent="0.3">
      <c r="A225" s="9" t="s">
        <v>12</v>
      </c>
      <c r="B225" s="9" t="s">
        <v>22</v>
      </c>
      <c r="C225" s="9" t="s">
        <v>24</v>
      </c>
      <c r="D225" s="9">
        <v>500</v>
      </c>
      <c r="E225" s="9">
        <v>699</v>
      </c>
      <c r="F225" s="9">
        <v>199</v>
      </c>
      <c r="G225" s="9">
        <v>65</v>
      </c>
      <c r="H225" s="9">
        <v>7.6159999999999997</v>
      </c>
      <c r="I225" s="9">
        <v>1507.9010000000001</v>
      </c>
      <c r="J225" s="9">
        <v>0</v>
      </c>
      <c r="K225" s="9" t="b">
        <v>1</v>
      </c>
      <c r="L225" s="10">
        <v>46234.475694444445</v>
      </c>
      <c r="M225" s="29" t="str">
        <f t="shared" si="24"/>
        <v>238829520 -&gt; 5990070#1 | t=500 | 31/07/2026 11:25</v>
      </c>
      <c r="N225" s="1" t="str">
        <f t="shared" si="25"/>
        <v>3 min 19 s</v>
      </c>
      <c r="O225" s="6">
        <f t="shared" si="26"/>
        <v>27.4176</v>
      </c>
      <c r="P225" s="23">
        <f t="shared" si="27"/>
        <v>1.5079010000000002</v>
      </c>
      <c r="Q225" s="4">
        <f t="shared" si="28"/>
        <v>2.3032407407407407E-3</v>
      </c>
      <c r="R225" s="1" t="str">
        <f t="shared" si="29"/>
        <v/>
      </c>
      <c r="S225" s="7" t="str">
        <f t="shared" si="30"/>
        <v/>
      </c>
      <c r="T225" s="1" t="str">
        <f t="shared" si="31"/>
        <v>Referencia</v>
      </c>
    </row>
    <row r="226" spans="1:20" x14ac:dyDescent="0.3">
      <c r="A226" s="9" t="s">
        <v>13</v>
      </c>
      <c r="B226" s="9" t="s">
        <v>22</v>
      </c>
      <c r="C226" s="9" t="s">
        <v>24</v>
      </c>
      <c r="D226" s="9">
        <v>500</v>
      </c>
      <c r="E226" s="9">
        <v>651</v>
      </c>
      <c r="F226" s="9">
        <v>151</v>
      </c>
      <c r="G226" s="9">
        <v>1</v>
      </c>
      <c r="H226" s="9">
        <v>11.972</v>
      </c>
      <c r="I226" s="9">
        <v>1795.8679999999999</v>
      </c>
      <c r="J226" s="9">
        <v>5</v>
      </c>
      <c r="K226" s="9" t="b">
        <v>1</v>
      </c>
      <c r="L226" s="10">
        <v>46234.475694444445</v>
      </c>
      <c r="M226" s="29" t="str">
        <f t="shared" si="24"/>
        <v>238829520 -&gt; 5990070#1 | t=500 | 31/07/2026 11:25</v>
      </c>
      <c r="N226" s="1" t="str">
        <f t="shared" si="25"/>
        <v>2 min 31 s</v>
      </c>
      <c r="O226" s="6">
        <f t="shared" si="26"/>
        <v>43.099199999999996</v>
      </c>
      <c r="P226" s="23">
        <f t="shared" si="27"/>
        <v>1.795868</v>
      </c>
      <c r="Q226" s="4">
        <f t="shared" si="28"/>
        <v>2.3032407407407407E-3</v>
      </c>
      <c r="R226" s="1" t="str">
        <f t="shared" si="29"/>
        <v>0 min 48 s</v>
      </c>
      <c r="S226" s="7">
        <f t="shared" si="30"/>
        <v>0.24120603015075373</v>
      </c>
      <c r="T226" s="1" t="str">
        <f t="shared" si="31"/>
        <v>Mejora</v>
      </c>
    </row>
    <row r="227" spans="1:20" x14ac:dyDescent="0.3">
      <c r="A227" s="9" t="s">
        <v>12</v>
      </c>
      <c r="B227" s="9" t="s">
        <v>22</v>
      </c>
      <c r="C227" s="9" t="s">
        <v>24</v>
      </c>
      <c r="D227" s="9">
        <v>500</v>
      </c>
      <c r="E227" s="9">
        <v>700</v>
      </c>
      <c r="F227" s="9">
        <v>200</v>
      </c>
      <c r="G227" s="9">
        <v>65</v>
      </c>
      <c r="H227" s="9">
        <v>7.5860000000000003</v>
      </c>
      <c r="I227" s="9">
        <v>1509.6590000000001</v>
      </c>
      <c r="J227" s="9">
        <v>0</v>
      </c>
      <c r="K227" s="9" t="b">
        <v>1</v>
      </c>
      <c r="L227" s="10">
        <v>46234.47934027778</v>
      </c>
      <c r="M227" s="29" t="str">
        <f t="shared" si="24"/>
        <v>238829520 -&gt; 5990070#1 | t=500 | 31/07/2026 11:30</v>
      </c>
      <c r="N227" s="1" t="str">
        <f t="shared" si="25"/>
        <v>3 min 20 s</v>
      </c>
      <c r="O227" s="6">
        <f t="shared" si="26"/>
        <v>27.309600000000003</v>
      </c>
      <c r="P227" s="23">
        <f t="shared" si="27"/>
        <v>1.5096590000000001</v>
      </c>
      <c r="Q227" s="4">
        <f t="shared" si="28"/>
        <v>2.3148148148148147E-3</v>
      </c>
      <c r="R227" s="1" t="str">
        <f t="shared" si="29"/>
        <v/>
      </c>
      <c r="S227" s="7" t="str">
        <f t="shared" si="30"/>
        <v/>
      </c>
      <c r="T227" s="1" t="str">
        <f t="shared" si="31"/>
        <v>Referencia</v>
      </c>
    </row>
    <row r="228" spans="1:20" x14ac:dyDescent="0.3">
      <c r="A228" s="9" t="s">
        <v>13</v>
      </c>
      <c r="B228" s="9" t="s">
        <v>22</v>
      </c>
      <c r="C228" s="9" t="s">
        <v>24</v>
      </c>
      <c r="D228" s="9">
        <v>500</v>
      </c>
      <c r="E228" s="9">
        <v>695</v>
      </c>
      <c r="F228" s="9">
        <v>195</v>
      </c>
      <c r="G228" s="9">
        <v>1</v>
      </c>
      <c r="H228" s="9">
        <v>9.2479999999999993</v>
      </c>
      <c r="I228" s="9">
        <v>1794.02</v>
      </c>
      <c r="J228" s="9">
        <v>5</v>
      </c>
      <c r="K228" s="9" t="b">
        <v>1</v>
      </c>
      <c r="L228" s="10">
        <v>46234.47934027778</v>
      </c>
      <c r="M228" s="29" t="str">
        <f t="shared" si="24"/>
        <v>238829520 -&gt; 5990070#1 | t=500 | 31/07/2026 11:30</v>
      </c>
      <c r="N228" s="31" t="str">
        <f t="shared" si="25"/>
        <v>3 min 15 s</v>
      </c>
      <c r="O228" s="19">
        <f t="shared" si="26"/>
        <v>33.2928</v>
      </c>
      <c r="P228" s="24">
        <f t="shared" si="27"/>
        <v>1.7940199999999999</v>
      </c>
      <c r="Q228" s="20">
        <f t="shared" si="28"/>
        <v>2.3148148148148147E-3</v>
      </c>
      <c r="R228" s="31" t="str">
        <f t="shared" si="29"/>
        <v>0 min 05 s</v>
      </c>
      <c r="S228" s="21">
        <f t="shared" si="30"/>
        <v>2.5000000000000036E-2</v>
      </c>
      <c r="T228" s="31" t="str">
        <f t="shared" si="31"/>
        <v>Mejora</v>
      </c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3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3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3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3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3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3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3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3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3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3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3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3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3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3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3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3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3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3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3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3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3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3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3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3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3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3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3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3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3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3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3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3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3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3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3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3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3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3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3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3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3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3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3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3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3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3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3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3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3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3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3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3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3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3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3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3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3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3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3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3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3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3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3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3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3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3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3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3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3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3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3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3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3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3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3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3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3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3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3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3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3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3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3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3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3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3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3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3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3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3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3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3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3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3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3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3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3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3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3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3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3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3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3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3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3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3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3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3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3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3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3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3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3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3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3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3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3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3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3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3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3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3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3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3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3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3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3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3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3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3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3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3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3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3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3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3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3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3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3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3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3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3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3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3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3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3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3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3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3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3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3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3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3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3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3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3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3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3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3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3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3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3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3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3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3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3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3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3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3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3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3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3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3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3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3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3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3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3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3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3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3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3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3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3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3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3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3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3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3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3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3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3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3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3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3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3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3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3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3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3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3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3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3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3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3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3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3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3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3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3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3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3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3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3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3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3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3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3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3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3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3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3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3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3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3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3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3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3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3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3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3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3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3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3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3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3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3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3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3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3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3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3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3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3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3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3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3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3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3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3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3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3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3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3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3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3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3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3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3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3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3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3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3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3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3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3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3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3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3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3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3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3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3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3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3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3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3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3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3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3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3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3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3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3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3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3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3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3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3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3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3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3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3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3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3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3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3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3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3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3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3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3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3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3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3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3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3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3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3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3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3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3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3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3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3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3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3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3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3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3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3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3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3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3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3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3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3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3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3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3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3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3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3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3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3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3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3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3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3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3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3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3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3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3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3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3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3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3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3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3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3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3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3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3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3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3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3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3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3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3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3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3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3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3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3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3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3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3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3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3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3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3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3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3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3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3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3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3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3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3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3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3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3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3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3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3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3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3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3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3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3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3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3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3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3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3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3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3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3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3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3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3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3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3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3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3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3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3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3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3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3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3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3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3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3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3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3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3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3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3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3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3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3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3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3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3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3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3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3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3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3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3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3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3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3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3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3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3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3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3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3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3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3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3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3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3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3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3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3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3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3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3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3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3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3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3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3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3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3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3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3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3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3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3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3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3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3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3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3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3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3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3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3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3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3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3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3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3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3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3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3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3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3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3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3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3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3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3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3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3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3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3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3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3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3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3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3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3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3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3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3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3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3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3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3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3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3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3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3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3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3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3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3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3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3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3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3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3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3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3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3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3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3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3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3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3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3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3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3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3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3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3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3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3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3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3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3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3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3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3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3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3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3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3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3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3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3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3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3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3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3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3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3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3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3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3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3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3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3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3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3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3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3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3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3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3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3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3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3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3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3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3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3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3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3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3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3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3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3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3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3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3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3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3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3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3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3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3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3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3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3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3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3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3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3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3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3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3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3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3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3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3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3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3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3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3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3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3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3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3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3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3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3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3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3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3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3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3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3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3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3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3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3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3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3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3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3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3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3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3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3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3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3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3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3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3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3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3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3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3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3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3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3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3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3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3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3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3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3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3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3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3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3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3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3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3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3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3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3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3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3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3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3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3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3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3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3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3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3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3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3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3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3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3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3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3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3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3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3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3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3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3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3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3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3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3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3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3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3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3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3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3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3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3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3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3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3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3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3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3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3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3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3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3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3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3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3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3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3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3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3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3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3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3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3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3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3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3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3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3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3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3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3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3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3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3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3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3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3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3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3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3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3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3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3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3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3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3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3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3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3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3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3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3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3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3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3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3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3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3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3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3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3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3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3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3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3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3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3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3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3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3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3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3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3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3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3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3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3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3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3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3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3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3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3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3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3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3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3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3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3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3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3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3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3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3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3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3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3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3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3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3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3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3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3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3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3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3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3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3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3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3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3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3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3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3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3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3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3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3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3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3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3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3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3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3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3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3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3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3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3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3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3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3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3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3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3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3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3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3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3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3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3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3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3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3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3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3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3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3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3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3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3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3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3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3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3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3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3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3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3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3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3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3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3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3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3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3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3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3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3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3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3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3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3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3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3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3"/>
      <c r="Q1096" s="4"/>
      <c r="R1096" s="1"/>
      <c r="S1096" s="7"/>
      <c r="T1096" s="1"/>
    </row>
    <row r="1097" spans="1:20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3"/>
      <c r="M1097" s="2"/>
      <c r="N1097" s="1"/>
      <c r="O1097" s="6"/>
      <c r="P1097" s="23"/>
      <c r="Q1097" s="4"/>
      <c r="R1097" s="1"/>
      <c r="S1097" s="7"/>
      <c r="T1097" s="1"/>
    </row>
    <row r="1098" spans="1:20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3"/>
      <c r="M1098" s="2"/>
      <c r="N1098" s="1"/>
      <c r="O1098" s="6"/>
      <c r="P1098" s="23"/>
      <c r="Q1098" s="4"/>
      <c r="R1098" s="1"/>
      <c r="S1098" s="7"/>
      <c r="T1098" s="1"/>
    </row>
    <row r="1099" spans="1:20" x14ac:dyDescent="0.3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3"/>
      <c r="M1099" s="2"/>
      <c r="N1099" s="1"/>
      <c r="O1099" s="6"/>
      <c r="P1099" s="23"/>
      <c r="Q1099" s="4"/>
      <c r="R1099" s="1"/>
      <c r="S1099" s="7"/>
      <c r="T1099" s="1"/>
    </row>
    <row r="1100" spans="1:20" x14ac:dyDescent="0.3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3"/>
      <c r="M1100" s="2"/>
      <c r="N1100" s="1"/>
      <c r="O1100" s="6"/>
      <c r="P1100" s="23"/>
      <c r="Q1100" s="4"/>
      <c r="R1100" s="1"/>
      <c r="S1100" s="7"/>
      <c r="T1100" s="1"/>
    </row>
    <row r="1101" spans="1:20" x14ac:dyDescent="0.3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3"/>
      <c r="M1101" s="2"/>
      <c r="N1101" s="1"/>
      <c r="O1101" s="6"/>
      <c r="P1101" s="23"/>
      <c r="Q1101" s="4"/>
      <c r="R1101" s="1"/>
      <c r="S1101" s="7"/>
      <c r="T1101" s="1"/>
    </row>
    <row r="1102" spans="1:20" x14ac:dyDescent="0.3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3"/>
      <c r="M1102" s="2"/>
      <c r="N1102" s="1"/>
      <c r="O1102" s="6"/>
      <c r="P1102" s="23"/>
      <c r="Q1102" s="4"/>
      <c r="R1102" s="1"/>
      <c r="S1102" s="7"/>
      <c r="T1102" s="1"/>
    </row>
    <row r="1103" spans="1:20" x14ac:dyDescent="0.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3"/>
      <c r="M1103" s="2"/>
      <c r="N1103" s="1"/>
      <c r="O1103" s="6"/>
      <c r="P1103" s="23"/>
      <c r="Q1103" s="4"/>
      <c r="R1103" s="1"/>
      <c r="S1103" s="7"/>
      <c r="T1103" s="1"/>
    </row>
    <row r="1104" spans="1:20" x14ac:dyDescent="0.3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3"/>
      <c r="M1104" s="2"/>
      <c r="N1104" s="1"/>
      <c r="O1104" s="6"/>
      <c r="P1104" s="23"/>
      <c r="Q1104" s="4"/>
      <c r="R1104" s="1"/>
      <c r="S1104" s="7"/>
      <c r="T1104" s="1"/>
    </row>
    <row r="1105" spans="1:20" x14ac:dyDescent="0.3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3"/>
      <c r="M1105" s="2"/>
      <c r="N1105" s="1"/>
      <c r="O1105" s="6"/>
      <c r="P1105" s="23"/>
      <c r="Q1105" s="4"/>
      <c r="R1105" s="1"/>
      <c r="S1105" s="7"/>
      <c r="T1105" s="1"/>
    </row>
    <row r="1106" spans="1:20" x14ac:dyDescent="0.3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3"/>
      <c r="M1106" s="2"/>
      <c r="N1106" s="1"/>
      <c r="O1106" s="6"/>
      <c r="P1106" s="23"/>
      <c r="Q1106" s="4"/>
      <c r="R1106" s="1"/>
      <c r="S1106" s="7"/>
      <c r="T1106" s="1"/>
    </row>
    <row r="1107" spans="1:20" x14ac:dyDescent="0.3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3"/>
      <c r="M1107" s="2"/>
      <c r="N1107" s="1"/>
      <c r="O1107" s="6"/>
      <c r="P1107" s="23"/>
      <c r="Q1107" s="4"/>
      <c r="R1107" s="1"/>
      <c r="S1107" s="7"/>
      <c r="T1107" s="1"/>
    </row>
    <row r="1108" spans="1:20" x14ac:dyDescent="0.3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3"/>
      <c r="M1108" s="2"/>
      <c r="N1108" s="1"/>
      <c r="O1108" s="6"/>
      <c r="P1108" s="23"/>
      <c r="Q1108" s="4"/>
      <c r="R1108" s="1"/>
      <c r="S1108" s="7"/>
      <c r="T1108" s="1"/>
    </row>
    <row r="1109" spans="1:20" x14ac:dyDescent="0.3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3"/>
      <c r="M1109" s="2"/>
      <c r="N1109" s="1"/>
      <c r="O1109" s="6"/>
      <c r="P1109" s="23"/>
      <c r="Q1109" s="4"/>
      <c r="R1109" s="1"/>
      <c r="S1109" s="7"/>
      <c r="T1109" s="1"/>
    </row>
    <row r="1110" spans="1:20" x14ac:dyDescent="0.3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3"/>
      <c r="M1110" s="2"/>
      <c r="N1110" s="1"/>
      <c r="O1110" s="6"/>
      <c r="P1110" s="23"/>
      <c r="Q1110" s="4"/>
      <c r="R1110" s="1"/>
      <c r="S1110" s="7"/>
      <c r="T1110" s="1"/>
    </row>
    <row r="1111" spans="1:20" x14ac:dyDescent="0.3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3"/>
      <c r="M1111" s="2"/>
      <c r="N1111" s="1"/>
      <c r="O1111" s="6"/>
      <c r="P1111" s="23"/>
      <c r="Q1111" s="4"/>
      <c r="R1111" s="1"/>
      <c r="S1111" s="7"/>
      <c r="T1111" s="1"/>
    </row>
    <row r="1112" spans="1:20" x14ac:dyDescent="0.3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3"/>
      <c r="M1112" s="2"/>
      <c r="N1112" s="1"/>
      <c r="O1112" s="6"/>
      <c r="P1112" s="23"/>
      <c r="Q1112" s="4"/>
      <c r="R1112" s="1"/>
      <c r="S1112" s="7"/>
      <c r="T1112" s="1"/>
    </row>
    <row r="1113" spans="1:20" x14ac:dyDescent="0.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3"/>
      <c r="M1113" s="2"/>
      <c r="N1113" s="1"/>
      <c r="O1113" s="6"/>
      <c r="P1113" s="23"/>
      <c r="Q1113" s="4"/>
      <c r="R1113" s="1"/>
      <c r="S1113" s="7"/>
      <c r="T1113" s="1"/>
    </row>
    <row r="1114" spans="1:20" x14ac:dyDescent="0.3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3"/>
      <c r="M1114" s="2"/>
      <c r="N1114" s="1"/>
      <c r="O1114" s="6"/>
      <c r="P1114" s="23"/>
      <c r="Q1114" s="4"/>
      <c r="R1114" s="1"/>
      <c r="S1114" s="7"/>
      <c r="T1114" s="1"/>
    </row>
    <row r="1115" spans="1:20" x14ac:dyDescent="0.3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3"/>
      <c r="M1115" s="2"/>
      <c r="N1115" s="1"/>
      <c r="O1115" s="6"/>
      <c r="P1115" s="23"/>
      <c r="Q1115" s="4"/>
      <c r="R1115" s="1"/>
      <c r="S1115" s="7"/>
      <c r="T1115" s="1"/>
    </row>
    <row r="1116" spans="1:20" x14ac:dyDescent="0.3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3"/>
      <c r="M1116" s="2"/>
      <c r="N1116" s="1"/>
      <c r="O1116" s="6"/>
      <c r="P1116" s="23"/>
      <c r="Q1116" s="4"/>
      <c r="R1116" s="1"/>
      <c r="S1116" s="7"/>
      <c r="T1116" s="1"/>
    </row>
    <row r="1117" spans="1:20" x14ac:dyDescent="0.3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3"/>
      <c r="M1117" s="2"/>
      <c r="N1117" s="1"/>
      <c r="O1117" s="6"/>
      <c r="P1117" s="23"/>
      <c r="Q1117" s="4"/>
      <c r="R1117" s="1"/>
      <c r="S1117" s="7"/>
      <c r="T1117" s="1"/>
    </row>
    <row r="1118" spans="1:20" x14ac:dyDescent="0.3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3"/>
      <c r="M1118" s="2"/>
      <c r="N1118" s="1"/>
      <c r="O1118" s="6"/>
      <c r="P1118" s="23"/>
      <c r="Q1118" s="4"/>
      <c r="R1118" s="1"/>
      <c r="S1118" s="7"/>
      <c r="T1118" s="1"/>
    </row>
    <row r="1119" spans="1:20" x14ac:dyDescent="0.3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3"/>
      <c r="M1119" s="2"/>
      <c r="N1119" s="1"/>
      <c r="O1119" s="6"/>
      <c r="P1119" s="23"/>
      <c r="Q1119" s="4"/>
      <c r="R1119" s="1"/>
      <c r="S1119" s="7"/>
      <c r="T1119" s="1"/>
    </row>
    <row r="1120" spans="1:20" x14ac:dyDescent="0.3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3"/>
      <c r="M1120" s="2"/>
      <c r="N1120" s="1"/>
      <c r="O1120" s="6"/>
      <c r="P1120" s="23"/>
      <c r="Q1120" s="4"/>
      <c r="R1120" s="1"/>
      <c r="S1120" s="7"/>
      <c r="T1120" s="1"/>
    </row>
    <row r="1121" spans="1:20" x14ac:dyDescent="0.3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3"/>
      <c r="M1121" s="2"/>
      <c r="N1121" s="1"/>
      <c r="O1121" s="6"/>
      <c r="P1121" s="23"/>
      <c r="Q1121" s="4"/>
      <c r="R1121" s="1"/>
      <c r="S1121" s="7"/>
      <c r="T1121" s="1"/>
    </row>
    <row r="1122" spans="1:20" x14ac:dyDescent="0.3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3"/>
      <c r="M1122" s="2"/>
      <c r="N1122" s="1"/>
      <c r="O1122" s="6"/>
      <c r="P1122" s="23"/>
      <c r="Q1122" s="4"/>
      <c r="R1122" s="1"/>
      <c r="S1122" s="7"/>
      <c r="T1122" s="1"/>
    </row>
    <row r="1123" spans="1:20" x14ac:dyDescent="0.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3"/>
      <c r="M1123" s="2"/>
      <c r="N1123" s="1"/>
      <c r="O1123" s="6"/>
      <c r="P1123" s="23"/>
      <c r="Q1123" s="4"/>
      <c r="R1123" s="1"/>
      <c r="S1123" s="7"/>
      <c r="T1123" s="1"/>
    </row>
    <row r="1124" spans="1:20" x14ac:dyDescent="0.3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3"/>
      <c r="M1124" s="2"/>
      <c r="N1124" s="1"/>
      <c r="O1124" s="6"/>
      <c r="P1124" s="23"/>
      <c r="Q1124" s="4"/>
      <c r="R1124" s="1"/>
      <c r="S1124" s="7"/>
      <c r="T1124" s="1"/>
    </row>
    <row r="1125" spans="1:20" x14ac:dyDescent="0.3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3"/>
      <c r="M1125" s="2"/>
      <c r="N1125" s="1"/>
      <c r="O1125" s="6"/>
      <c r="P1125" s="23"/>
      <c r="Q1125" s="4"/>
      <c r="R1125" s="1"/>
      <c r="S1125" s="7"/>
      <c r="T1125" s="1"/>
    </row>
    <row r="1126" spans="1:20" x14ac:dyDescent="0.3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3"/>
      <c r="M1126" s="2"/>
      <c r="N1126" s="1"/>
      <c r="O1126" s="6"/>
      <c r="P1126" s="23"/>
      <c r="Q1126" s="4"/>
      <c r="R1126" s="1"/>
      <c r="S1126" s="7"/>
      <c r="T1126" s="1"/>
    </row>
    <row r="1127" spans="1:20" x14ac:dyDescent="0.3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3"/>
      <c r="M1127" s="2"/>
      <c r="N1127" s="1"/>
      <c r="O1127" s="6"/>
      <c r="P1127" s="23"/>
      <c r="Q1127" s="4"/>
      <c r="R1127" s="1"/>
      <c r="S1127" s="7"/>
      <c r="T1127" s="1"/>
    </row>
    <row r="1128" spans="1:20" x14ac:dyDescent="0.3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3"/>
      <c r="M1128" s="2"/>
      <c r="N1128" s="1"/>
      <c r="O1128" s="6"/>
      <c r="P1128" s="23"/>
      <c r="Q1128" s="4"/>
      <c r="R1128" s="1"/>
      <c r="S1128" s="7"/>
      <c r="T1128" s="1"/>
    </row>
    <row r="1129" spans="1:20" x14ac:dyDescent="0.3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3"/>
      <c r="M1129" s="2"/>
      <c r="N1129" s="1"/>
      <c r="O1129" s="6"/>
      <c r="P1129" s="23"/>
      <c r="Q1129" s="4"/>
      <c r="R1129" s="1"/>
      <c r="S1129" s="7"/>
      <c r="T1129" s="1"/>
    </row>
    <row r="1130" spans="1:20" x14ac:dyDescent="0.3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3"/>
      <c r="M1130" s="2"/>
      <c r="N1130" s="1"/>
      <c r="O1130" s="6"/>
      <c r="P1130" s="23"/>
      <c r="Q1130" s="4"/>
      <c r="R1130" s="1"/>
      <c r="S1130" s="7"/>
      <c r="T1130" s="1"/>
    </row>
    <row r="1131" spans="1:20" x14ac:dyDescent="0.3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3"/>
      <c r="M1131" s="2"/>
      <c r="N1131" s="1"/>
      <c r="O1131" s="6"/>
      <c r="P1131" s="23"/>
      <c r="Q1131" s="4"/>
      <c r="R1131" s="1"/>
      <c r="S1131" s="7"/>
      <c r="T1131" s="1"/>
    </row>
    <row r="1132" spans="1:20" x14ac:dyDescent="0.3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3"/>
      <c r="M1132" s="2"/>
      <c r="N1132" s="1"/>
      <c r="O1132" s="6"/>
      <c r="P1132" s="23"/>
      <c r="Q1132" s="4"/>
      <c r="R1132" s="1"/>
      <c r="S1132" s="7"/>
      <c r="T1132" s="1"/>
    </row>
    <row r="1133" spans="1:20" x14ac:dyDescent="0.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3"/>
      <c r="M1133" s="2"/>
      <c r="N1133" s="1"/>
      <c r="O1133" s="6"/>
      <c r="P1133" s="23"/>
      <c r="Q1133" s="4"/>
      <c r="R1133" s="1"/>
      <c r="S1133" s="7"/>
      <c r="T1133" s="1"/>
    </row>
    <row r="1134" spans="1:20" x14ac:dyDescent="0.3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3"/>
      <c r="M1134" s="2"/>
      <c r="N1134" s="1"/>
      <c r="O1134" s="6"/>
      <c r="P1134" s="23"/>
      <c r="Q1134" s="4"/>
      <c r="R1134" s="1"/>
      <c r="S1134" s="7"/>
      <c r="T1134" s="1"/>
    </row>
    <row r="1135" spans="1:20" x14ac:dyDescent="0.3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3"/>
      <c r="M1135" s="2"/>
      <c r="N1135" s="1"/>
      <c r="O1135" s="6"/>
      <c r="P1135" s="23"/>
      <c r="Q1135" s="4"/>
      <c r="R1135" s="1"/>
      <c r="S1135" s="7"/>
      <c r="T1135" s="1"/>
    </row>
    <row r="1136" spans="1:20" x14ac:dyDescent="0.3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3"/>
      <c r="M1136" s="2"/>
      <c r="N1136" s="1"/>
      <c r="O1136" s="6"/>
      <c r="P1136" s="23"/>
      <c r="Q1136" s="4"/>
      <c r="R1136" s="1"/>
      <c r="S1136" s="7"/>
      <c r="T1136" s="1"/>
    </row>
    <row r="1137" spans="1:20" x14ac:dyDescent="0.3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3"/>
      <c r="M1137" s="2"/>
      <c r="N1137" s="1"/>
      <c r="O1137" s="6"/>
      <c r="P1137" s="23"/>
      <c r="Q1137" s="4"/>
      <c r="R1137" s="1"/>
      <c r="S1137" s="7"/>
      <c r="T1137" s="1"/>
    </row>
    <row r="1138" spans="1:20" x14ac:dyDescent="0.3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3"/>
      <c r="M1138" s="2"/>
      <c r="N1138" s="1"/>
      <c r="O1138" s="6"/>
      <c r="P1138" s="23"/>
      <c r="Q1138" s="4"/>
      <c r="R1138" s="1"/>
      <c r="S1138" s="7"/>
      <c r="T1138" s="1"/>
    </row>
    <row r="1139" spans="1:20" x14ac:dyDescent="0.3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3"/>
      <c r="M1139" s="2"/>
      <c r="N1139" s="1"/>
      <c r="O1139" s="6"/>
      <c r="P1139" s="23"/>
      <c r="Q1139" s="4"/>
      <c r="R1139" s="1"/>
      <c r="S1139" s="7"/>
      <c r="T1139" s="1"/>
    </row>
    <row r="1140" spans="1:20" x14ac:dyDescent="0.3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3"/>
      <c r="M1140" s="2"/>
      <c r="N1140" s="1"/>
      <c r="O1140" s="6"/>
      <c r="P1140" s="23"/>
      <c r="Q1140" s="4"/>
      <c r="R1140" s="1"/>
      <c r="S1140" s="7"/>
      <c r="T1140" s="1"/>
    </row>
    <row r="1141" spans="1:20" x14ac:dyDescent="0.3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3"/>
      <c r="M1141" s="2"/>
      <c r="N1141" s="1"/>
      <c r="O1141" s="6"/>
      <c r="P1141" s="23"/>
      <c r="Q1141" s="4"/>
      <c r="R1141" s="1"/>
      <c r="S1141" s="7"/>
      <c r="T1141" s="1"/>
    </row>
    <row r="1142" spans="1:20" x14ac:dyDescent="0.3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3"/>
      <c r="M1142" s="2"/>
      <c r="N1142" s="1"/>
      <c r="O1142" s="6"/>
      <c r="P1142" s="23"/>
      <c r="Q1142" s="4"/>
      <c r="R1142" s="1"/>
      <c r="S1142" s="7"/>
      <c r="T1142" s="1"/>
    </row>
    <row r="1143" spans="1:20" x14ac:dyDescent="0.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3"/>
      <c r="M1143" s="2"/>
      <c r="N1143" s="1"/>
      <c r="O1143" s="6"/>
      <c r="P1143" s="23"/>
      <c r="Q1143" s="4"/>
      <c r="R1143" s="1"/>
      <c r="S1143" s="7"/>
      <c r="T1143" s="1"/>
    </row>
    <row r="1144" spans="1:20" x14ac:dyDescent="0.3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3"/>
      <c r="M1144" s="2"/>
      <c r="N1144" s="1"/>
      <c r="O1144" s="6"/>
      <c r="P1144" s="23"/>
      <c r="Q1144" s="4"/>
      <c r="R1144" s="1"/>
      <c r="S1144" s="7"/>
      <c r="T1144" s="1"/>
    </row>
    <row r="1145" spans="1:20" x14ac:dyDescent="0.3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3"/>
      <c r="M1145" s="2"/>
      <c r="N1145" s="1"/>
      <c r="O1145" s="6"/>
      <c r="P1145" s="23"/>
      <c r="Q1145" s="4"/>
      <c r="R1145" s="1"/>
      <c r="S1145" s="7"/>
      <c r="T1145" s="1"/>
    </row>
    <row r="1146" spans="1:20" x14ac:dyDescent="0.3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3"/>
      <c r="M1146" s="2"/>
      <c r="N1146" s="1"/>
      <c r="O1146" s="6"/>
      <c r="P1146" s="23"/>
      <c r="Q1146" s="4"/>
      <c r="R1146" s="1"/>
      <c r="S1146" s="7"/>
      <c r="T1146" s="1"/>
    </row>
    <row r="1147" spans="1:20" x14ac:dyDescent="0.3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3"/>
      <c r="M1147" s="2"/>
      <c r="N1147" s="1"/>
      <c r="O1147" s="6"/>
      <c r="P1147" s="23"/>
      <c r="Q1147" s="4"/>
      <c r="R1147" s="1"/>
      <c r="S1147" s="7"/>
      <c r="T1147" s="1"/>
    </row>
    <row r="1148" spans="1:20" x14ac:dyDescent="0.3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3"/>
      <c r="M1148" s="2"/>
      <c r="N1148" s="1"/>
      <c r="O1148" s="6"/>
      <c r="P1148" s="23"/>
      <c r="Q1148" s="4"/>
      <c r="R1148" s="1"/>
      <c r="S1148" s="7"/>
      <c r="T1148" s="1"/>
    </row>
    <row r="1149" spans="1:20" x14ac:dyDescent="0.3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3"/>
      <c r="M1149" s="2"/>
      <c r="N1149" s="1"/>
      <c r="O1149" s="6"/>
      <c r="P1149" s="23"/>
      <c r="Q1149" s="4"/>
      <c r="R1149" s="1"/>
      <c r="S1149" s="7"/>
      <c r="T1149" s="1"/>
    </row>
    <row r="1150" spans="1:20" x14ac:dyDescent="0.3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3"/>
      <c r="M1150" s="2"/>
      <c r="N1150" s="1"/>
      <c r="O1150" s="6"/>
      <c r="P1150" s="23"/>
      <c r="Q1150" s="4"/>
      <c r="R1150" s="1"/>
      <c r="S1150" s="7"/>
      <c r="T1150" s="1"/>
    </row>
    <row r="1151" spans="1:20" x14ac:dyDescent="0.3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3"/>
      <c r="M1151" s="2"/>
      <c r="N1151" s="1"/>
      <c r="O1151" s="6"/>
      <c r="P1151" s="23"/>
      <c r="Q1151" s="4"/>
      <c r="R1151" s="1"/>
      <c r="S1151" s="7"/>
      <c r="T1151" s="1"/>
    </row>
    <row r="1152" spans="1:20" x14ac:dyDescent="0.3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3"/>
      <c r="M1152" s="2"/>
      <c r="N1152" s="1"/>
      <c r="O1152" s="6"/>
      <c r="P1152" s="23"/>
      <c r="Q1152" s="4"/>
      <c r="R1152" s="1"/>
      <c r="S1152" s="7"/>
      <c r="T1152" s="1"/>
    </row>
    <row r="1153" spans="1:20" x14ac:dyDescent="0.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3"/>
      <c r="M1153" s="2"/>
      <c r="N1153" s="1"/>
      <c r="O1153" s="6"/>
      <c r="P1153" s="23"/>
      <c r="Q1153" s="4"/>
      <c r="R1153" s="1"/>
      <c r="S1153" s="7"/>
      <c r="T1153" s="1"/>
    </row>
    <row r="1154" spans="1:20" x14ac:dyDescent="0.3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3"/>
      <c r="M1154" s="2"/>
      <c r="N1154" s="1"/>
      <c r="O1154" s="6"/>
      <c r="P1154" s="23"/>
      <c r="Q1154" s="4"/>
      <c r="R1154" s="1"/>
      <c r="S1154" s="7"/>
      <c r="T1154" s="1"/>
    </row>
    <row r="1155" spans="1:20" x14ac:dyDescent="0.3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3"/>
      <c r="M1155" s="2"/>
      <c r="N1155" s="1"/>
      <c r="O1155" s="6"/>
      <c r="P1155" s="23"/>
      <c r="Q1155" s="4"/>
      <c r="R1155" s="1"/>
      <c r="S1155" s="7"/>
      <c r="T1155" s="1"/>
    </row>
    <row r="1156" spans="1:20" x14ac:dyDescent="0.3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3"/>
      <c r="M1156" s="2"/>
      <c r="N1156" s="1"/>
      <c r="O1156" s="6"/>
      <c r="P1156" s="23"/>
      <c r="Q1156" s="4"/>
      <c r="R1156" s="1"/>
      <c r="S1156" s="7"/>
      <c r="T1156" s="1"/>
    </row>
    <row r="1157" spans="1:20" x14ac:dyDescent="0.3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3"/>
      <c r="M1157" s="2"/>
      <c r="N1157" s="1"/>
      <c r="O1157" s="6"/>
      <c r="P1157" s="23"/>
      <c r="Q1157" s="4"/>
      <c r="R1157" s="1"/>
      <c r="S1157" s="7"/>
      <c r="T1157" s="1"/>
    </row>
    <row r="1158" spans="1:20" x14ac:dyDescent="0.3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3"/>
      <c r="M1158" s="2"/>
      <c r="N1158" s="1"/>
      <c r="O1158" s="6"/>
      <c r="P1158" s="23"/>
      <c r="Q1158" s="4"/>
      <c r="R1158" s="1"/>
      <c r="S1158" s="7"/>
      <c r="T1158" s="1"/>
    </row>
    <row r="1159" spans="1:20" x14ac:dyDescent="0.3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3"/>
      <c r="M1159" s="2"/>
      <c r="N1159" s="1"/>
      <c r="O1159" s="6"/>
      <c r="P1159" s="23"/>
      <c r="Q1159" s="4"/>
      <c r="R1159" s="1"/>
      <c r="S1159" s="7"/>
      <c r="T1159" s="1"/>
    </row>
    <row r="1160" spans="1:20" x14ac:dyDescent="0.3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3"/>
      <c r="M1160" s="2"/>
      <c r="N1160" s="1"/>
      <c r="O1160" s="6"/>
      <c r="P1160" s="23"/>
      <c r="Q1160" s="4"/>
      <c r="R1160" s="1"/>
      <c r="S1160" s="7"/>
      <c r="T1160" s="1"/>
    </row>
    <row r="1161" spans="1:20" x14ac:dyDescent="0.3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3"/>
      <c r="M1161" s="2"/>
      <c r="N1161" s="1"/>
      <c r="O1161" s="6"/>
      <c r="P1161" s="23"/>
      <c r="Q1161" s="4"/>
      <c r="R1161" s="1"/>
      <c r="S1161" s="7"/>
      <c r="T1161" s="1"/>
    </row>
    <row r="1162" spans="1:20" x14ac:dyDescent="0.3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3"/>
      <c r="M1162" s="2"/>
      <c r="N1162" s="1"/>
      <c r="O1162" s="6"/>
      <c r="P1162" s="23"/>
      <c r="Q1162" s="4"/>
      <c r="R1162" s="1"/>
      <c r="S1162" s="7"/>
      <c r="T1162" s="1"/>
    </row>
    <row r="1163" spans="1:20" x14ac:dyDescent="0.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3"/>
      <c r="M1163" s="2"/>
      <c r="N1163" s="1"/>
      <c r="O1163" s="6"/>
      <c r="P1163" s="23"/>
      <c r="Q1163" s="4"/>
      <c r="R1163" s="1"/>
      <c r="S1163" s="7"/>
      <c r="T1163" s="1"/>
    </row>
    <row r="1164" spans="1:20" x14ac:dyDescent="0.3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3"/>
      <c r="M1164" s="2"/>
      <c r="N1164" s="1"/>
      <c r="O1164" s="6"/>
      <c r="P1164" s="23"/>
      <c r="Q1164" s="4"/>
      <c r="R1164" s="1"/>
      <c r="S1164" s="7"/>
      <c r="T1164" s="1"/>
    </row>
    <row r="1165" spans="1:20" x14ac:dyDescent="0.3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3"/>
      <c r="M1165" s="2"/>
      <c r="N1165" s="1"/>
      <c r="O1165" s="6"/>
      <c r="P1165" s="23"/>
      <c r="Q1165" s="4"/>
      <c r="R1165" s="1"/>
      <c r="S1165" s="7"/>
      <c r="T1165" s="1"/>
    </row>
    <row r="1166" spans="1:20" x14ac:dyDescent="0.3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3"/>
      <c r="M1166" s="2"/>
      <c r="N1166" s="1"/>
      <c r="O1166" s="6"/>
      <c r="P1166" s="23"/>
      <c r="Q1166" s="4"/>
      <c r="R1166" s="1"/>
      <c r="S1166" s="7"/>
      <c r="T1166" s="1"/>
    </row>
    <row r="1167" spans="1:20" x14ac:dyDescent="0.3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3"/>
      <c r="M1167" s="2"/>
      <c r="N1167" s="1"/>
      <c r="O1167" s="6"/>
      <c r="P1167" s="23"/>
      <c r="Q1167" s="4"/>
      <c r="R1167" s="1"/>
      <c r="S1167" s="7"/>
      <c r="T1167" s="1"/>
    </row>
    <row r="1168" spans="1:20" x14ac:dyDescent="0.3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3"/>
      <c r="M1168" s="2"/>
      <c r="N1168" s="1"/>
      <c r="O1168" s="6"/>
      <c r="P1168" s="23"/>
      <c r="Q1168" s="4"/>
      <c r="R1168" s="1"/>
      <c r="S1168" s="7"/>
      <c r="T1168" s="1"/>
    </row>
    <row r="1169" spans="1:20" x14ac:dyDescent="0.3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3"/>
      <c r="M1169" s="2"/>
      <c r="N1169" s="1"/>
      <c r="O1169" s="6"/>
      <c r="P1169" s="23"/>
      <c r="Q1169" s="4"/>
      <c r="R1169" s="1"/>
      <c r="S1169" s="7"/>
      <c r="T1169" s="1"/>
    </row>
    <row r="1170" spans="1:20" x14ac:dyDescent="0.3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3"/>
      <c r="M1170" s="2"/>
      <c r="N1170" s="1"/>
      <c r="O1170" s="6"/>
      <c r="P1170" s="23"/>
      <c r="Q1170" s="4"/>
      <c r="R1170" s="1"/>
      <c r="S1170" s="7"/>
      <c r="T1170" s="1"/>
    </row>
    <row r="1171" spans="1:20" x14ac:dyDescent="0.3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3"/>
      <c r="M1171" s="2"/>
      <c r="N1171" s="1"/>
      <c r="O1171" s="6"/>
      <c r="P1171" s="23"/>
      <c r="Q1171" s="4"/>
      <c r="R1171" s="1"/>
      <c r="S1171" s="7"/>
      <c r="T1171" s="1"/>
    </row>
    <row r="1172" spans="1:20" x14ac:dyDescent="0.3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3"/>
      <c r="M1172" s="2"/>
      <c r="N1172" s="1"/>
      <c r="O1172" s="6"/>
      <c r="P1172" s="23"/>
      <c r="Q1172" s="4"/>
      <c r="R1172" s="1"/>
      <c r="S1172" s="7"/>
      <c r="T1172" s="1"/>
    </row>
    <row r="1173" spans="1:20" x14ac:dyDescent="0.3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3"/>
      <c r="M1173" s="2"/>
      <c r="N1173" s="1"/>
      <c r="O1173" s="6"/>
      <c r="P1173" s="23"/>
      <c r="Q1173" s="4"/>
      <c r="R1173" s="1"/>
      <c r="S1173" s="7"/>
      <c r="T1173" s="1"/>
    </row>
    <row r="1174" spans="1:20" x14ac:dyDescent="0.3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3"/>
      <c r="M1174" s="2"/>
      <c r="N1174" s="1"/>
      <c r="O1174" s="6"/>
      <c r="P1174" s="23"/>
      <c r="Q1174" s="4"/>
      <c r="R1174" s="1"/>
      <c r="S1174" s="7"/>
      <c r="T1174" s="1"/>
    </row>
    <row r="1175" spans="1:20" x14ac:dyDescent="0.3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3"/>
      <c r="M1175" s="2"/>
      <c r="N1175" s="1"/>
      <c r="O1175" s="6"/>
      <c r="P1175" s="23"/>
      <c r="Q1175" s="4"/>
      <c r="R1175" s="1"/>
      <c r="S1175" s="7"/>
      <c r="T1175" s="1"/>
    </row>
    <row r="1176" spans="1:20" x14ac:dyDescent="0.3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3"/>
      <c r="M1176" s="2"/>
      <c r="N1176" s="1"/>
      <c r="O1176" s="6"/>
      <c r="P1176" s="23"/>
      <c r="Q1176" s="4"/>
      <c r="R1176" s="1"/>
      <c r="S1176" s="7"/>
      <c r="T1176" s="1"/>
    </row>
    <row r="1177" spans="1:20" x14ac:dyDescent="0.3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3"/>
      <c r="M1177" s="2"/>
      <c r="N1177" s="1"/>
      <c r="O1177" s="6"/>
      <c r="P1177" s="23"/>
      <c r="Q1177" s="4"/>
      <c r="R1177" s="1"/>
      <c r="S1177" s="7"/>
      <c r="T1177" s="1"/>
    </row>
    <row r="1178" spans="1:20" x14ac:dyDescent="0.3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3"/>
      <c r="M1178" s="2"/>
      <c r="N1178" s="1"/>
      <c r="O1178" s="6"/>
      <c r="P1178" s="23"/>
      <c r="Q1178" s="4"/>
      <c r="R1178" s="1"/>
      <c r="S1178" s="7"/>
      <c r="T1178" s="1"/>
    </row>
    <row r="1179" spans="1:20" x14ac:dyDescent="0.3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3"/>
      <c r="M1179" s="2"/>
      <c r="N1179" s="1"/>
      <c r="O1179" s="6"/>
      <c r="P1179" s="23"/>
      <c r="Q1179" s="4"/>
      <c r="R1179" s="1"/>
      <c r="S1179" s="7"/>
      <c r="T1179" s="1"/>
    </row>
    <row r="1180" spans="1:20" x14ac:dyDescent="0.3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3"/>
      <c r="M1180" s="2"/>
      <c r="N1180" s="1"/>
      <c r="O1180" s="6"/>
      <c r="P1180" s="23"/>
      <c r="Q1180" s="4"/>
      <c r="R1180" s="1"/>
      <c r="S1180" s="7"/>
      <c r="T1180" s="1"/>
    </row>
    <row r="1181" spans="1:20" x14ac:dyDescent="0.3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3"/>
      <c r="M1181" s="2"/>
      <c r="N1181" s="1"/>
      <c r="O1181" s="6"/>
      <c r="P1181" s="23"/>
      <c r="Q1181" s="4"/>
      <c r="R1181" s="1"/>
      <c r="S1181" s="7"/>
      <c r="T1181" s="1"/>
    </row>
    <row r="1182" spans="1:20" x14ac:dyDescent="0.3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3"/>
      <c r="M1182" s="2"/>
      <c r="N1182" s="1"/>
      <c r="O1182" s="6"/>
      <c r="P1182" s="23"/>
      <c r="Q1182" s="4"/>
      <c r="R1182" s="1"/>
      <c r="S1182" s="7"/>
      <c r="T1182" s="1"/>
    </row>
    <row r="1183" spans="1:20" x14ac:dyDescent="0.3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3"/>
      <c r="M1183" s="2"/>
      <c r="N1183" s="1"/>
      <c r="O1183" s="6"/>
      <c r="P1183" s="23"/>
      <c r="Q1183" s="4"/>
      <c r="R1183" s="1"/>
      <c r="S1183" s="7"/>
      <c r="T1183" s="1"/>
    </row>
    <row r="1184" spans="1:20" x14ac:dyDescent="0.3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3"/>
      <c r="M1184" s="2"/>
      <c r="N1184" s="1"/>
      <c r="O1184" s="6"/>
      <c r="P1184" s="23"/>
      <c r="Q1184" s="4"/>
      <c r="R1184" s="1"/>
      <c r="S1184" s="7"/>
      <c r="T1184" s="1"/>
    </row>
    <row r="1185" spans="1:20" x14ac:dyDescent="0.3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3"/>
      <c r="M1185" s="2"/>
      <c r="N1185" s="1"/>
      <c r="O1185" s="6"/>
      <c r="P1185" s="23"/>
      <c r="Q1185" s="4"/>
      <c r="R1185" s="1"/>
      <c r="S1185" s="7"/>
      <c r="T1185" s="1"/>
    </row>
    <row r="1186" spans="1:20" x14ac:dyDescent="0.3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3"/>
      <c r="M1186" s="2"/>
      <c r="N1186" s="1"/>
      <c r="O1186" s="6"/>
      <c r="P1186" s="23"/>
      <c r="Q1186" s="4"/>
      <c r="R1186" s="1"/>
      <c r="S1186" s="7"/>
      <c r="T1186" s="1"/>
    </row>
    <row r="1187" spans="1:20" x14ac:dyDescent="0.3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3"/>
      <c r="M1187" s="2"/>
      <c r="N1187" s="1"/>
      <c r="O1187" s="6"/>
      <c r="P1187" s="23"/>
      <c r="Q1187" s="4"/>
      <c r="R1187" s="1"/>
      <c r="S1187" s="7"/>
      <c r="T1187" s="1"/>
    </row>
    <row r="1188" spans="1:20" x14ac:dyDescent="0.3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3"/>
      <c r="M1188" s="2"/>
      <c r="N1188" s="1"/>
      <c r="O1188" s="6"/>
      <c r="P1188" s="23"/>
      <c r="Q1188" s="4"/>
      <c r="R1188" s="1"/>
      <c r="S1188" s="7"/>
      <c r="T1188" s="1"/>
    </row>
    <row r="1189" spans="1:20" x14ac:dyDescent="0.3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3"/>
      <c r="M1189" s="2"/>
      <c r="N1189" s="1"/>
      <c r="O1189" s="6"/>
      <c r="P1189" s="23"/>
      <c r="Q1189" s="4"/>
      <c r="R1189" s="1"/>
      <c r="S1189" s="7"/>
      <c r="T1189" s="1"/>
    </row>
    <row r="1190" spans="1:20" x14ac:dyDescent="0.3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3"/>
      <c r="M1190" s="2"/>
      <c r="N1190" s="1"/>
      <c r="O1190" s="6"/>
      <c r="P1190" s="23"/>
      <c r="Q1190" s="4"/>
      <c r="R1190" s="1"/>
      <c r="S1190" s="7"/>
      <c r="T1190" s="1"/>
    </row>
    <row r="1191" spans="1:20" x14ac:dyDescent="0.3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3"/>
      <c r="M1191" s="2"/>
      <c r="N1191" s="1"/>
      <c r="O1191" s="6"/>
      <c r="P1191" s="23"/>
      <c r="Q1191" s="4"/>
      <c r="R1191" s="1"/>
      <c r="S1191" s="7"/>
      <c r="T1191" s="1"/>
    </row>
    <row r="1192" spans="1:20" x14ac:dyDescent="0.3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3"/>
      <c r="M1192" s="2"/>
      <c r="N1192" s="1"/>
      <c r="O1192" s="6"/>
      <c r="P1192" s="23"/>
      <c r="Q1192" s="4"/>
      <c r="R1192" s="1"/>
      <c r="S1192" s="7"/>
      <c r="T1192" s="1"/>
    </row>
    <row r="1193" spans="1:20" x14ac:dyDescent="0.3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3"/>
      <c r="M1193" s="2"/>
      <c r="N1193" s="1"/>
      <c r="O1193" s="6"/>
      <c r="P1193" s="23"/>
      <c r="Q1193" s="4"/>
      <c r="R1193" s="1"/>
      <c r="S1193" s="7"/>
      <c r="T1193" s="1"/>
    </row>
    <row r="1194" spans="1:20" x14ac:dyDescent="0.3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3"/>
      <c r="M1194" s="2"/>
      <c r="N1194" s="1"/>
      <c r="O1194" s="6"/>
      <c r="P1194" s="23"/>
      <c r="Q1194" s="4"/>
      <c r="R1194" s="1"/>
      <c r="S1194" s="7"/>
      <c r="T1194" s="1"/>
    </row>
    <row r="1195" spans="1:20" x14ac:dyDescent="0.3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3"/>
      <c r="M1195" s="2"/>
      <c r="N1195" s="1"/>
      <c r="O1195" s="6"/>
      <c r="P1195" s="23"/>
      <c r="Q1195" s="4"/>
      <c r="R1195" s="1"/>
      <c r="S1195" s="7"/>
      <c r="T1195" s="1"/>
    </row>
    <row r="1196" spans="1:20" x14ac:dyDescent="0.3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3"/>
      <c r="M1196" s="2"/>
      <c r="N1196" s="1"/>
      <c r="O1196" s="6"/>
      <c r="P1196" s="23"/>
      <c r="Q1196" s="4"/>
      <c r="R1196" s="1"/>
      <c r="S1196" s="7"/>
      <c r="T1196" s="1"/>
    </row>
    <row r="1197" spans="1:20" x14ac:dyDescent="0.3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3"/>
      <c r="M1197" s="2"/>
      <c r="N1197" s="1"/>
      <c r="O1197" s="6"/>
      <c r="P1197" s="23"/>
      <c r="Q1197" s="4"/>
      <c r="R1197" s="1"/>
      <c r="S1197" s="7"/>
      <c r="T1197" s="1"/>
    </row>
    <row r="1198" spans="1:20" x14ac:dyDescent="0.3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3"/>
      <c r="M1198" s="2"/>
      <c r="N1198" s="1"/>
      <c r="O1198" s="6"/>
      <c r="P1198" s="23"/>
      <c r="Q1198" s="4"/>
      <c r="R1198" s="1"/>
      <c r="S1198" s="7"/>
      <c r="T1198" s="1"/>
    </row>
    <row r="1199" spans="1:20" x14ac:dyDescent="0.3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3"/>
      <c r="M1199" s="2"/>
      <c r="N1199" s="1"/>
      <c r="O1199" s="6"/>
      <c r="P1199" s="23"/>
      <c r="Q1199" s="4"/>
      <c r="R1199" s="1"/>
      <c r="S1199" s="7"/>
      <c r="T1199" s="1"/>
    </row>
    <row r="1200" spans="1:20" x14ac:dyDescent="0.3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3"/>
      <c r="M1200" s="2"/>
      <c r="N1200" s="1"/>
      <c r="O1200" s="6"/>
      <c r="P1200" s="23"/>
      <c r="Q1200" s="4"/>
      <c r="R1200" s="1"/>
      <c r="S1200" s="7"/>
      <c r="T1200" s="1"/>
    </row>
    <row r="1201" spans="1:20" x14ac:dyDescent="0.3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3"/>
      <c r="M1201" s="2"/>
      <c r="N1201" s="1"/>
      <c r="O1201" s="6"/>
      <c r="P1201" s="23"/>
      <c r="Q1201" s="4"/>
      <c r="R1201" s="1"/>
      <c r="S1201" s="7"/>
      <c r="T1201" s="1"/>
    </row>
    <row r="1202" spans="1:20" x14ac:dyDescent="0.3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3"/>
      <c r="M1202" s="2"/>
      <c r="N1202" s="1"/>
      <c r="O1202" s="6"/>
      <c r="P1202" s="23"/>
      <c r="Q1202" s="4"/>
      <c r="R1202" s="1"/>
      <c r="S1202" s="7"/>
      <c r="T1202" s="1"/>
    </row>
    <row r="1203" spans="1:20" x14ac:dyDescent="0.3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3"/>
      <c r="M1203" s="2"/>
      <c r="N1203" s="1"/>
      <c r="O1203" s="6"/>
      <c r="P1203" s="23"/>
      <c r="Q1203" s="4"/>
      <c r="R1203" s="1"/>
      <c r="S1203" s="7"/>
      <c r="T1203" s="1"/>
    </row>
    <row r="1204" spans="1:20" x14ac:dyDescent="0.3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3"/>
      <c r="M1204" s="2"/>
      <c r="N1204" s="1"/>
      <c r="O1204" s="6"/>
      <c r="P1204" s="23"/>
      <c r="Q1204" s="4"/>
      <c r="R1204" s="1"/>
      <c r="S1204" s="7"/>
      <c r="T1204" s="1"/>
    </row>
    <row r="1205" spans="1:20" x14ac:dyDescent="0.3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3"/>
      <c r="M1205" s="2"/>
      <c r="N1205" s="1"/>
      <c r="O1205" s="6"/>
      <c r="P1205" s="23"/>
      <c r="Q1205" s="4"/>
      <c r="R1205" s="1"/>
      <c r="S1205" s="7"/>
      <c r="T1205" s="1"/>
    </row>
    <row r="1206" spans="1:20" x14ac:dyDescent="0.3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3"/>
      <c r="M1206" s="2"/>
      <c r="N1206" s="1"/>
      <c r="O1206" s="6"/>
      <c r="P1206" s="23"/>
      <c r="Q1206" s="4"/>
      <c r="R1206" s="1"/>
      <c r="S1206" s="7"/>
      <c r="T1206" s="1"/>
    </row>
    <row r="1207" spans="1:20" x14ac:dyDescent="0.3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3"/>
      <c r="M1207" s="2"/>
      <c r="N1207" s="1"/>
      <c r="O1207" s="6"/>
      <c r="P1207" s="23"/>
      <c r="Q1207" s="4"/>
      <c r="R1207" s="1"/>
      <c r="S1207" s="7"/>
      <c r="T1207" s="1"/>
    </row>
    <row r="1208" spans="1:20" x14ac:dyDescent="0.3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3"/>
      <c r="M1208" s="2"/>
      <c r="N1208" s="1"/>
      <c r="O1208" s="6"/>
      <c r="P1208" s="23"/>
      <c r="Q1208" s="4"/>
      <c r="R1208" s="1"/>
      <c r="S1208" s="7"/>
      <c r="T1208" s="1"/>
    </row>
    <row r="1209" spans="1:20" x14ac:dyDescent="0.3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3"/>
      <c r="M1209" s="2"/>
      <c r="N1209" s="1"/>
      <c r="O1209" s="6"/>
      <c r="P1209" s="23"/>
      <c r="Q1209" s="4"/>
      <c r="R1209" s="1"/>
      <c r="S1209" s="7"/>
      <c r="T1209" s="1"/>
    </row>
    <row r="1210" spans="1:20" x14ac:dyDescent="0.3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3"/>
      <c r="M1210" s="2"/>
      <c r="N1210" s="1"/>
      <c r="O1210" s="6"/>
      <c r="P1210" s="23"/>
      <c r="Q1210" s="4"/>
      <c r="R1210" s="1"/>
      <c r="S1210" s="7"/>
      <c r="T1210" s="1"/>
    </row>
    <row r="1211" spans="1:20" x14ac:dyDescent="0.3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3"/>
      <c r="M1211" s="2"/>
      <c r="N1211" s="1"/>
      <c r="O1211" s="6"/>
      <c r="P1211" s="23"/>
      <c r="Q1211" s="4"/>
      <c r="R1211" s="1"/>
      <c r="S1211" s="7"/>
      <c r="T1211" s="1"/>
    </row>
    <row r="1212" spans="1:20" x14ac:dyDescent="0.3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3"/>
      <c r="M1212" s="2"/>
      <c r="N1212" s="1"/>
      <c r="O1212" s="6"/>
      <c r="P1212" s="23"/>
      <c r="Q1212" s="4"/>
      <c r="R1212" s="1"/>
      <c r="S1212" s="7"/>
      <c r="T1212" s="1"/>
    </row>
    <row r="1213" spans="1:20" x14ac:dyDescent="0.3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3"/>
      <c r="M1213" s="2"/>
      <c r="N1213" s="1"/>
      <c r="O1213" s="6"/>
      <c r="P1213" s="23"/>
      <c r="Q1213" s="4"/>
      <c r="R1213" s="1"/>
      <c r="S1213" s="7"/>
      <c r="T1213" s="1"/>
    </row>
    <row r="1214" spans="1:20" x14ac:dyDescent="0.3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3"/>
      <c r="M1214" s="2"/>
      <c r="N1214" s="1"/>
      <c r="O1214" s="6"/>
      <c r="P1214" s="23"/>
      <c r="Q1214" s="4"/>
      <c r="R1214" s="1"/>
      <c r="S1214" s="7"/>
      <c r="T1214" s="1"/>
    </row>
    <row r="1215" spans="1:20" x14ac:dyDescent="0.3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3"/>
      <c r="M1215" s="2"/>
      <c r="N1215" s="1"/>
      <c r="O1215" s="6"/>
      <c r="P1215" s="23"/>
      <c r="Q1215" s="4"/>
      <c r="R1215" s="1"/>
      <c r="S1215" s="7"/>
      <c r="T1215" s="1"/>
    </row>
    <row r="1216" spans="1:20" x14ac:dyDescent="0.3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3"/>
      <c r="M1216" s="2"/>
      <c r="N1216" s="1"/>
      <c r="O1216" s="6"/>
      <c r="P1216" s="23"/>
      <c r="Q1216" s="4"/>
      <c r="R1216" s="1"/>
      <c r="S1216" s="7"/>
      <c r="T1216" s="1"/>
    </row>
    <row r="1217" spans="1:20" x14ac:dyDescent="0.3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3"/>
      <c r="M1217" s="2"/>
      <c r="N1217" s="1"/>
      <c r="O1217" s="6"/>
      <c r="P1217" s="23"/>
      <c r="Q1217" s="4"/>
      <c r="R1217" s="1"/>
      <c r="S1217" s="7"/>
      <c r="T1217" s="1"/>
    </row>
    <row r="1218" spans="1:20" x14ac:dyDescent="0.3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3"/>
      <c r="M1218" s="2"/>
      <c r="N1218" s="1"/>
      <c r="O1218" s="6"/>
      <c r="P1218" s="23"/>
      <c r="Q1218" s="4"/>
      <c r="R1218" s="1"/>
      <c r="S1218" s="7"/>
      <c r="T1218" s="1"/>
    </row>
    <row r="1219" spans="1:20" x14ac:dyDescent="0.3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3"/>
      <c r="M1219" s="2"/>
      <c r="N1219" s="1"/>
      <c r="O1219" s="6"/>
      <c r="P1219" s="23"/>
      <c r="Q1219" s="4"/>
      <c r="R1219" s="1"/>
      <c r="S1219" s="7"/>
      <c r="T1219" s="1"/>
    </row>
    <row r="1220" spans="1:20" x14ac:dyDescent="0.3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3"/>
      <c r="M1220" s="2"/>
      <c r="N1220" s="1"/>
      <c r="O1220" s="6"/>
      <c r="P1220" s="23"/>
      <c r="Q1220" s="4"/>
      <c r="R1220" s="1"/>
      <c r="S1220" s="7"/>
      <c r="T1220" s="1"/>
    </row>
    <row r="1221" spans="1:20" x14ac:dyDescent="0.3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3"/>
      <c r="M1221" s="2"/>
      <c r="N1221" s="1"/>
      <c r="O1221" s="6"/>
      <c r="P1221" s="23"/>
      <c r="Q1221" s="4"/>
      <c r="R1221" s="1"/>
      <c r="S1221" s="7"/>
      <c r="T1221" s="1"/>
    </row>
    <row r="1222" spans="1:20" x14ac:dyDescent="0.3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3"/>
      <c r="M1222" s="2"/>
      <c r="N1222" s="1"/>
      <c r="O1222" s="6"/>
      <c r="P1222" s="23"/>
      <c r="Q1222" s="4"/>
      <c r="R1222" s="1"/>
      <c r="S1222" s="7"/>
      <c r="T1222" s="1"/>
    </row>
    <row r="1223" spans="1:20" x14ac:dyDescent="0.3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3"/>
      <c r="M1223" s="2"/>
      <c r="N1223" s="1"/>
      <c r="O1223" s="6"/>
      <c r="P1223" s="23"/>
      <c r="Q1223" s="4"/>
      <c r="R1223" s="1"/>
      <c r="S1223" s="7"/>
      <c r="T1223" s="1"/>
    </row>
    <row r="1224" spans="1:20" x14ac:dyDescent="0.3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3"/>
      <c r="M1224" s="2"/>
      <c r="N1224" s="1"/>
      <c r="O1224" s="6"/>
      <c r="P1224" s="23"/>
      <c r="Q1224" s="4"/>
      <c r="R1224" s="1"/>
      <c r="S1224" s="7"/>
      <c r="T1224" s="1"/>
    </row>
    <row r="1225" spans="1:20" x14ac:dyDescent="0.3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3"/>
      <c r="M1225" s="2"/>
      <c r="N1225" s="1"/>
      <c r="O1225" s="6"/>
      <c r="P1225" s="23"/>
      <c r="Q1225" s="4"/>
      <c r="R1225" s="1"/>
      <c r="S1225" s="7"/>
      <c r="T1225" s="1"/>
    </row>
  </sheetData>
  <phoneticPr fontId="1" type="noConversion"/>
  <conditionalFormatting sqref="R2:T1225">
    <cfRule type="expression" dxfId="24" priority="1">
      <formula>$T2="Igual"</formula>
    </cfRule>
    <cfRule type="expression" dxfId="23" priority="2">
      <formula>$T2="Sin referencia"</formula>
    </cfRule>
    <cfRule type="expression" dxfId="22" priority="3">
      <formula>$T2="No llega"</formula>
    </cfRule>
    <cfRule type="expression" dxfId="21" priority="4">
      <formula>$T2="Empeora"</formula>
    </cfRule>
    <cfRule type="expression" dxfId="20" priority="5">
      <formula>$T2="Mejora"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topLeftCell="L46" zoomScale="115" zoomScaleNormal="115" workbookViewId="0">
      <selection activeCell="V48" sqref="V48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1" max="11" width="15.88671875" bestFit="1" customWidth="1"/>
    <col min="12" max="12" width="16.33203125" bestFit="1" customWidth="1"/>
    <col min="14" max="14" width="12.44140625" bestFit="1" customWidth="1"/>
    <col min="15" max="15" width="15.6640625" bestFit="1" customWidth="1"/>
    <col min="17" max="17" width="16.88671875" bestFit="1" customWidth="1"/>
    <col min="18" max="18" width="17.77734375" bestFit="1" customWidth="1"/>
    <col min="20" max="20" width="9.6640625" bestFit="1" customWidth="1"/>
    <col min="21" max="21" width="18.6640625" bestFit="1" customWidth="1"/>
    <col min="23" max="23" width="27.21875" bestFit="1" customWidth="1"/>
    <col min="24" max="24" width="18.7773437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K1" s="17" t="s">
        <v>37</v>
      </c>
      <c r="L1" s="17" t="s">
        <v>50</v>
      </c>
      <c r="N1" s="17" t="s">
        <v>45</v>
      </c>
      <c r="O1" s="17" t="s">
        <v>50</v>
      </c>
      <c r="Q1" s="17" t="s">
        <v>46</v>
      </c>
      <c r="R1" s="17" t="s">
        <v>50</v>
      </c>
      <c r="T1" s="17" t="s">
        <v>32</v>
      </c>
      <c r="U1" s="17" t="s">
        <v>38</v>
      </c>
      <c r="W1" s="17" t="s">
        <v>49</v>
      </c>
      <c r="X1" s="17" t="s">
        <v>38</v>
      </c>
    </row>
    <row r="2" spans="1:38" ht="15.6" thickTop="1" thickBot="1" x14ac:dyDescent="0.35">
      <c r="A2" s="1" t="str" cm="1">
        <f t="array" ref="A2:A102">"Prueba "&amp;_xlfn.SEQUENCE(ROWS(_xlfn.ANCHORARRAY(B2)))</f>
        <v>Prueba 1</v>
      </c>
      <c r="B2" s="1" t="str" cm="1">
        <f t="array" ref="B2:B102">_xlfn._xlws.FILTER(emergency_results!$M$2:$M$1186,(emergency_results!$A$2:$A$1186="inteligente")*(emergency_results!$K$2:$K$1186=TRUE)*(emergency_results!$Q$2:$Q$1186&lt;&gt;""))</f>
        <v>238829520 -&gt; 5989317 | t=250 | 24/05/2026 11:45</v>
      </c>
      <c r="C2" s="1" cm="1">
        <f t="array" ref="C2:C102">_xlfn._xlws.FILTER(emergency_results!$Q$2:$Q$1186,(emergency_results!$A$2:$A$1186="inteligente")*(emergency_results!$K$2:$K$1186=TRUE)*(emergency_results!$Q$2:$Q$1186&lt;&gt;""))*86400</f>
        <v>236</v>
      </c>
      <c r="D2" s="1" cm="1">
        <f t="array" ref="D2:D102">_xlfn._xlws.FILTER(emergency_results!$F$2:$F$1186,(emergency_results!$A$2:$A$1186="inteligente")*(emergency_results!$K$2:$K$1186=TRUE)*(emergency_results!$Q$2:$Q$1186&lt;&gt;""))</f>
        <v>158</v>
      </c>
      <c r="E2" s="18">
        <f>IF(OR(C2="",D2=""),"",C2-D2)</f>
        <v>78</v>
      </c>
      <c r="F2" s="7" cm="1">
        <f t="array" ref="F2:F102">_xlfn._xlws.FILTER(emergency_results!$S$2:$S$1186,(emergency_results!$A$2:$A$1186="inteligente")*(emergency_results!$K$2:$K$1186=TRUE)*(emergency_results!$Q$2:$Q$1186&lt;&gt;""))</f>
        <v>0.33050847457627119</v>
      </c>
      <c r="G2" s="1" cm="1">
        <f t="array" ref="G2:G102">_xlfn._xlws.FILTER(emergency_results!$O$2:$O$1186,(emergency_results!$A$2:$A$1186="inteligente")*(emergency_results!$K$2:$K$1186=TRUE)*(emergency_results!$Q$2:$Q$1186&lt;&gt;""))</f>
        <v>42.184800000000003</v>
      </c>
      <c r="H2" s="1" cm="1">
        <f t="array" ref="H2:H102">_xlfn._xlws.FILTER(emergency_results!$J$2:$J$1186,(emergency_results!$A$2:$A$1186="inteligente")*(emergency_results!$K$2:$K$1186=TRUE)*(emergency_results!$Q$2:$Q$1186&lt;&gt;""))</f>
        <v>3</v>
      </c>
      <c r="I2" s="1" t="str" cm="1">
        <f t="array" ref="I2:I102">_xlfn._xlws.FILTER(emergency_results!$T$2:$T$1186,(emergency_results!$A$2:$A$1186="inteligente")*(emergency_results!$K$2:$K$1186=TRUE)*(emergency_results!$Q$2:$Q$1186&lt;&gt;""))</f>
        <v>Mejora</v>
      </c>
      <c r="K2" s="17" t="s">
        <v>34</v>
      </c>
      <c r="L2" s="18">
        <f>AVERAGE(_xlfn.ANCHORARRAY(C2))</f>
        <v>249.02970297029702</v>
      </c>
      <c r="N2" s="17" t="s">
        <v>34</v>
      </c>
      <c r="O2" s="18">
        <f>AVERAGE(C21:C40)</f>
        <v>201.7</v>
      </c>
      <c r="Q2" s="17" t="s">
        <v>34</v>
      </c>
      <c r="R2" s="18">
        <f>AVERAGE(C2:C21)</f>
        <v>306.55</v>
      </c>
      <c r="T2" s="17" t="s">
        <v>39</v>
      </c>
      <c r="U2" s="18">
        <f>COUNTIF($I$2:$I$101,"Mejora")</f>
        <v>90</v>
      </c>
      <c r="W2" s="17" t="s">
        <v>39</v>
      </c>
      <c r="X2" s="18">
        <f>COUNTIF($I$21:$I$40,"Mejora")</f>
        <v>19</v>
      </c>
    </row>
    <row r="3" spans="1:38" ht="15.6" thickTop="1" thickBot="1" x14ac:dyDescent="0.35">
      <c r="A3" s="1" t="str">
        <v>Prueba 2</v>
      </c>
      <c r="B3" s="1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K3" s="17" t="s">
        <v>35</v>
      </c>
      <c r="L3" s="18">
        <f>AVERAGE(_xlfn.ANCHORARRAY(D2))</f>
        <v>206.13861386138615</v>
      </c>
      <c r="N3" s="17" t="s">
        <v>35</v>
      </c>
      <c r="O3" s="18">
        <f>AVERAGE(D21:D40)</f>
        <v>139.4</v>
      </c>
      <c r="Q3" s="17" t="s">
        <v>35</v>
      </c>
      <c r="R3" s="18">
        <f>AVERAGE(D2:D21)</f>
        <v>263.45</v>
      </c>
      <c r="T3" s="17" t="s">
        <v>40</v>
      </c>
      <c r="U3" s="18">
        <f>COUNTIF($I$2:$I$101,"Empeora")</f>
        <v>6</v>
      </c>
      <c r="W3" s="17" t="s">
        <v>40</v>
      </c>
      <c r="X3" s="18">
        <f>COUNTIF($I$21:$I$40,"Empeora")</f>
        <v>0</v>
      </c>
    </row>
    <row r="4" spans="1:38" ht="15.6" thickTop="1" thickBot="1" x14ac:dyDescent="0.35">
      <c r="A4" s="1" t="str">
        <v>Prueba 3</v>
      </c>
      <c r="B4" s="1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T4" s="17" t="s">
        <v>41</v>
      </c>
      <c r="U4" s="18">
        <f>COUNTIF($I$2:$I$101,"Igual")</f>
        <v>4</v>
      </c>
      <c r="W4" s="17" t="s">
        <v>41</v>
      </c>
      <c r="X4" s="18">
        <f>COUNTIF($I$21:$I$40,"Igual")</f>
        <v>1</v>
      </c>
    </row>
    <row r="5" spans="1:38" ht="15" thickTop="1" x14ac:dyDescent="0.3">
      <c r="A5" s="1" t="str">
        <v>Prueba 4</v>
      </c>
      <c r="B5" s="1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</row>
    <row r="6" spans="1:38" x14ac:dyDescent="0.3">
      <c r="A6" s="1" t="str">
        <v>Prueba 5</v>
      </c>
      <c r="B6" s="1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</row>
    <row r="7" spans="1:38" x14ac:dyDescent="0.3">
      <c r="A7" s="1" t="str">
        <v>Prueba 6</v>
      </c>
      <c r="B7" s="1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</row>
    <row r="8" spans="1:38" x14ac:dyDescent="0.3">
      <c r="A8" s="1" t="str">
        <v>Prueba 7</v>
      </c>
      <c r="B8" s="1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</row>
    <row r="9" spans="1:38" x14ac:dyDescent="0.3">
      <c r="A9" s="1" t="str">
        <v>Prueba 8</v>
      </c>
      <c r="B9" s="1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</row>
    <row r="10" spans="1:38" x14ac:dyDescent="0.3">
      <c r="A10" s="1" t="str">
        <v>Prueba 9</v>
      </c>
      <c r="B10" s="1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</row>
    <row r="11" spans="1:38" x14ac:dyDescent="0.3">
      <c r="A11" s="1" t="str">
        <v>Prueba 10</v>
      </c>
      <c r="B11" s="1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</row>
    <row r="12" spans="1:38" x14ac:dyDescent="0.3">
      <c r="A12" s="1" t="str">
        <v>Prueba 11</v>
      </c>
      <c r="B12" s="1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AL12" t="s">
        <v>36</v>
      </c>
    </row>
    <row r="13" spans="1:38" x14ac:dyDescent="0.3">
      <c r="A13" s="1" t="str">
        <v>Prueba 12</v>
      </c>
      <c r="B13" s="1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</row>
    <row r="14" spans="1:38" x14ac:dyDescent="0.3">
      <c r="A14" s="1" t="str">
        <v>Prueba 13</v>
      </c>
      <c r="B14" s="1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</row>
    <row r="15" spans="1:38" x14ac:dyDescent="0.3">
      <c r="A15" s="1" t="str">
        <v>Prueba 14</v>
      </c>
      <c r="B15" s="1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</row>
    <row r="16" spans="1:38" x14ac:dyDescent="0.3">
      <c r="A16" s="1" t="str">
        <v>Prueba 15</v>
      </c>
      <c r="B16" s="1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</row>
    <row r="17" spans="1:12" x14ac:dyDescent="0.3">
      <c r="A17" s="1" t="str">
        <v>Prueba 16</v>
      </c>
      <c r="B17" s="1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</row>
    <row r="18" spans="1:12" x14ac:dyDescent="0.3">
      <c r="A18" s="1" t="str">
        <v>Prueba 17</v>
      </c>
      <c r="B18" s="1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</row>
    <row r="19" spans="1:12" x14ac:dyDescent="0.3">
      <c r="A19" s="1" t="str">
        <v>Prueba 18</v>
      </c>
      <c r="B19" s="1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</row>
    <row r="20" spans="1:12" x14ac:dyDescent="0.3">
      <c r="A20" s="1" t="str">
        <v>Prueba 19</v>
      </c>
      <c r="B20" s="1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</row>
    <row r="21" spans="1:12" x14ac:dyDescent="0.3">
      <c r="A21" s="26" t="str">
        <v>Prueba 20</v>
      </c>
      <c r="B21" s="26" t="str">
        <v>238829520 -&gt; 5990070#1 | t=500 | 25/05/2026 08:45</v>
      </c>
      <c r="C21" s="26">
        <v>204</v>
      </c>
      <c r="D21" s="26">
        <v>133</v>
      </c>
      <c r="E21" s="27">
        <f t="shared" si="0"/>
        <v>71</v>
      </c>
      <c r="F21" s="28">
        <v>0.34803921568627449</v>
      </c>
      <c r="G21" s="26">
        <v>41.083200000000005</v>
      </c>
      <c r="H21" s="26">
        <v>1</v>
      </c>
      <c r="I21" s="26" t="str">
        <v>Mejora</v>
      </c>
      <c r="J21">
        <f>COUNT(H21:H40)</f>
        <v>20</v>
      </c>
      <c r="K21" s="25" t="s">
        <v>43</v>
      </c>
      <c r="L21" s="25" t="s">
        <v>42</v>
      </c>
    </row>
    <row r="22" spans="1:12" x14ac:dyDescent="0.3">
      <c r="A22" s="26" t="str">
        <v>Prueba 21</v>
      </c>
      <c r="B22" s="26" t="str">
        <v>238829520 -&gt; 5990070#1 | t=500 | 25/05/2026 11:15</v>
      </c>
      <c r="C22" s="26">
        <v>204</v>
      </c>
      <c r="D22" s="26">
        <v>168</v>
      </c>
      <c r="E22" s="27">
        <f t="shared" si="0"/>
        <v>36</v>
      </c>
      <c r="F22" s="28">
        <v>0.17647058823529416</v>
      </c>
      <c r="G22" s="26">
        <v>32.472000000000001</v>
      </c>
      <c r="H22" s="26">
        <v>1</v>
      </c>
      <c r="I22" s="26" t="str">
        <v>Mejora</v>
      </c>
      <c r="K22" s="25"/>
      <c r="L22" s="25"/>
    </row>
    <row r="23" spans="1:12" x14ac:dyDescent="0.3">
      <c r="A23" s="26" t="str">
        <v>Prueba 22</v>
      </c>
      <c r="B23" s="26" t="str">
        <v>238829520 -&gt; 5990070#1 | t=500 | 25/05/2026 12:10</v>
      </c>
      <c r="C23" s="26">
        <v>200.99999999999997</v>
      </c>
      <c r="D23" s="26">
        <v>129</v>
      </c>
      <c r="E23" s="27">
        <f t="shared" si="0"/>
        <v>71.999999999999972</v>
      </c>
      <c r="F23" s="28">
        <v>0.35820895522388052</v>
      </c>
      <c r="G23" s="26">
        <v>42.422400000000003</v>
      </c>
      <c r="H23" s="26">
        <v>3</v>
      </c>
      <c r="I23" s="26" t="str">
        <v>Mejora</v>
      </c>
      <c r="K23" s="25"/>
      <c r="L23" s="25"/>
    </row>
    <row r="24" spans="1:12" x14ac:dyDescent="0.3">
      <c r="A24" s="26" t="str">
        <v>Prueba 23</v>
      </c>
      <c r="B24" s="26" t="str">
        <v>238829520 -&gt; 5990070#1 | t=500 | 25/05/2026 13:00</v>
      </c>
      <c r="C24" s="26">
        <v>200.99999999999997</v>
      </c>
      <c r="D24" s="26">
        <v>145</v>
      </c>
      <c r="E24" s="27">
        <f t="shared" si="0"/>
        <v>55.999999999999972</v>
      </c>
      <c r="F24" s="28">
        <v>0.27860696517412925</v>
      </c>
      <c r="G24" s="26">
        <v>37.681200000000004</v>
      </c>
      <c r="H24" s="26">
        <v>2</v>
      </c>
      <c r="I24" s="26" t="str">
        <v>Mejora</v>
      </c>
      <c r="K24" s="25"/>
      <c r="L24" s="25"/>
    </row>
    <row r="25" spans="1:12" x14ac:dyDescent="0.3">
      <c r="A25" s="26" t="str">
        <v>Prueba 24</v>
      </c>
      <c r="B25" s="26" t="str">
        <v>238829520 -&gt; 5990070#1 | t=500 | 25/05/2026 13:25</v>
      </c>
      <c r="C25" s="26">
        <v>205</v>
      </c>
      <c r="D25" s="26">
        <v>132</v>
      </c>
      <c r="E25" s="27">
        <f t="shared" si="0"/>
        <v>73</v>
      </c>
      <c r="F25" s="28">
        <v>0.35609756097560968</v>
      </c>
      <c r="G25" s="26">
        <v>41.234400000000001</v>
      </c>
      <c r="H25" s="26">
        <v>1</v>
      </c>
      <c r="I25" s="26" t="str">
        <v>Mejora</v>
      </c>
      <c r="K25" s="25"/>
      <c r="L25" s="25"/>
    </row>
    <row r="26" spans="1:12" x14ac:dyDescent="0.3">
      <c r="A26" s="26" t="str">
        <v>Prueba 25</v>
      </c>
      <c r="B26" s="26" t="str">
        <v>238829520 -&gt; 5990070#1 | t=500 | 25/05/2026 14:00</v>
      </c>
      <c r="C26" s="26">
        <v>200</v>
      </c>
      <c r="D26" s="26">
        <v>200</v>
      </c>
      <c r="E26" s="27">
        <f t="shared" si="0"/>
        <v>0</v>
      </c>
      <c r="F26" s="28">
        <v>0</v>
      </c>
      <c r="G26" s="26">
        <v>34.898400000000002</v>
      </c>
      <c r="H26" s="26">
        <v>0</v>
      </c>
      <c r="I26" s="26" t="str">
        <v>Igual</v>
      </c>
      <c r="K26" s="25"/>
      <c r="L26" s="25"/>
    </row>
    <row r="27" spans="1:12" x14ac:dyDescent="0.3">
      <c r="A27" s="26" t="str">
        <v>Prueba 26</v>
      </c>
      <c r="B27" s="26" t="str">
        <v>238829520 -&gt; 5990070#1 | t=500 | 25/05/2026 17:25</v>
      </c>
      <c r="C27" s="26">
        <v>200</v>
      </c>
      <c r="D27" s="26">
        <v>151</v>
      </c>
      <c r="E27" s="27">
        <f t="shared" si="0"/>
        <v>49</v>
      </c>
      <c r="F27" s="28">
        <v>0.24499999999999994</v>
      </c>
      <c r="G27" s="26">
        <v>36.187199999999997</v>
      </c>
      <c r="H27" s="26">
        <v>3</v>
      </c>
      <c r="I27" s="26" t="str">
        <v>Mejora</v>
      </c>
      <c r="K27" s="25"/>
      <c r="L27" s="25"/>
    </row>
    <row r="28" spans="1:12" x14ac:dyDescent="0.3">
      <c r="A28" s="26" t="str">
        <v>Prueba 27</v>
      </c>
      <c r="B28" s="26" t="str">
        <v>238829520 -&gt; 5990070#1 | t=500 | 25/05/2026 18:05</v>
      </c>
      <c r="C28" s="26">
        <v>199</v>
      </c>
      <c r="D28" s="26">
        <v>128</v>
      </c>
      <c r="E28" s="27">
        <f t="shared" si="0"/>
        <v>71</v>
      </c>
      <c r="F28" s="28">
        <v>0.35678391959798994</v>
      </c>
      <c r="G28" s="26">
        <v>42.7896</v>
      </c>
      <c r="H28" s="26">
        <v>1</v>
      </c>
      <c r="I28" s="26" t="str">
        <v>Mejora</v>
      </c>
      <c r="K28" s="25"/>
      <c r="L28" s="25"/>
    </row>
    <row r="29" spans="1:12" x14ac:dyDescent="0.3">
      <c r="A29" s="26" t="str">
        <v>Prueba 28</v>
      </c>
      <c r="B29" s="26" t="str">
        <v>238829520 -&gt; 5990070#1 | t=500 | 25/05/2026 18:15</v>
      </c>
      <c r="C29" s="26">
        <v>220.00000000000003</v>
      </c>
      <c r="D29" s="26">
        <v>130</v>
      </c>
      <c r="E29" s="27">
        <f t="shared" si="0"/>
        <v>90.000000000000028</v>
      </c>
      <c r="F29" s="28">
        <v>0.40909090909090912</v>
      </c>
      <c r="G29" s="26">
        <v>42.022800000000004</v>
      </c>
      <c r="H29" s="26">
        <v>1</v>
      </c>
      <c r="I29" s="26" t="str">
        <v>Mejora</v>
      </c>
      <c r="K29" s="25"/>
      <c r="L29" s="25"/>
    </row>
    <row r="30" spans="1:12" x14ac:dyDescent="0.3">
      <c r="A30" s="26" t="str">
        <v>Prueba 29</v>
      </c>
      <c r="B30" s="26" t="str">
        <v>238829520 -&gt; 5990070#1 | t=500 | 25/05/2026 18:20</v>
      </c>
      <c r="C30" s="26">
        <v>200</v>
      </c>
      <c r="D30" s="26">
        <v>130</v>
      </c>
      <c r="E30" s="27">
        <f t="shared" si="0"/>
        <v>70</v>
      </c>
      <c r="F30" s="28">
        <v>0.35</v>
      </c>
      <c r="G30" s="26">
        <v>42.022800000000004</v>
      </c>
      <c r="H30" s="26">
        <v>1</v>
      </c>
      <c r="I30" s="26" t="str">
        <v>Mejora</v>
      </c>
      <c r="K30" s="25"/>
      <c r="L30" s="25"/>
    </row>
    <row r="31" spans="1:12" x14ac:dyDescent="0.3">
      <c r="A31" s="26" t="str">
        <v>Prueba 30</v>
      </c>
      <c r="B31" s="26" t="str">
        <v>238829520 -&gt; 5990070#1 | t=500 | 25/05/2026 18:25</v>
      </c>
      <c r="C31" s="26">
        <v>204</v>
      </c>
      <c r="D31" s="26">
        <v>136</v>
      </c>
      <c r="E31" s="27">
        <f t="shared" si="0"/>
        <v>68</v>
      </c>
      <c r="F31" s="28">
        <v>0.33333333333333331</v>
      </c>
      <c r="G31" s="26">
        <v>40.266000000000005</v>
      </c>
      <c r="H31" s="26">
        <v>1</v>
      </c>
      <c r="I31" s="26" t="str">
        <v>Mejora</v>
      </c>
      <c r="K31" s="25"/>
      <c r="L31" s="25"/>
    </row>
    <row r="32" spans="1:12" x14ac:dyDescent="0.3">
      <c r="A32" s="26" t="str">
        <v>Prueba 31</v>
      </c>
      <c r="B32" s="26" t="str">
        <v>238829520 -&gt; 5990070#1 | t=500 | 25/05/2026 18:35</v>
      </c>
      <c r="C32" s="26">
        <v>199</v>
      </c>
      <c r="D32" s="26">
        <v>124</v>
      </c>
      <c r="E32" s="27">
        <f t="shared" si="0"/>
        <v>75</v>
      </c>
      <c r="F32" s="28">
        <v>0.37688442211055273</v>
      </c>
      <c r="G32" s="26">
        <v>44.1252</v>
      </c>
      <c r="H32" s="26">
        <v>3</v>
      </c>
      <c r="I32" s="26" t="str">
        <v>Mejora</v>
      </c>
      <c r="K32" s="25"/>
      <c r="L32" s="25"/>
    </row>
    <row r="33" spans="1:12" x14ac:dyDescent="0.3">
      <c r="A33" s="26" t="str">
        <v>Prueba 32</v>
      </c>
      <c r="B33" s="26" t="str">
        <v>238829520 -&gt; 5990070#1 | t=500 | 25/05/2026 19:52</v>
      </c>
      <c r="C33" s="26">
        <v>200</v>
      </c>
      <c r="D33" s="26">
        <v>164</v>
      </c>
      <c r="E33" s="27">
        <f t="shared" si="0"/>
        <v>36</v>
      </c>
      <c r="F33" s="28">
        <v>0.17999999999999994</v>
      </c>
      <c r="G33" s="26">
        <v>33.260400000000004</v>
      </c>
      <c r="H33" s="26">
        <v>5</v>
      </c>
      <c r="I33" s="26" t="str">
        <v>Mejora</v>
      </c>
      <c r="K33" s="25"/>
      <c r="L33" s="25"/>
    </row>
    <row r="34" spans="1:12" x14ac:dyDescent="0.3">
      <c r="A34" s="26" t="str">
        <v>Prueba 33</v>
      </c>
      <c r="B34" s="26" t="str">
        <v>238829520 -&gt; 5990070#1 | t=500 | 25/05/2026 20:05</v>
      </c>
      <c r="C34" s="26">
        <v>199</v>
      </c>
      <c r="D34" s="26">
        <v>131</v>
      </c>
      <c r="E34" s="27">
        <f t="shared" si="0"/>
        <v>68</v>
      </c>
      <c r="F34" s="28">
        <v>0.34170854271356788</v>
      </c>
      <c r="G34" s="26">
        <v>41.6556</v>
      </c>
      <c r="H34" s="26">
        <v>1</v>
      </c>
      <c r="I34" s="26" t="str">
        <v>Mejora</v>
      </c>
      <c r="K34" s="25"/>
      <c r="L34" s="25"/>
    </row>
    <row r="35" spans="1:12" x14ac:dyDescent="0.3">
      <c r="A35" s="26" t="str">
        <v>Prueba 34</v>
      </c>
      <c r="B35" s="26" t="str">
        <v>238829520 -&gt; 5990070#1 | t=500 | 25/05/2026 20:20</v>
      </c>
      <c r="C35" s="26">
        <v>200</v>
      </c>
      <c r="D35" s="26">
        <v>134</v>
      </c>
      <c r="E35" s="27">
        <f t="shared" si="0"/>
        <v>66</v>
      </c>
      <c r="F35" s="28">
        <v>0.33</v>
      </c>
      <c r="G35" s="26">
        <v>40.885199999999998</v>
      </c>
      <c r="H35" s="26">
        <v>1</v>
      </c>
      <c r="I35" s="26" t="str">
        <v>Mejora</v>
      </c>
      <c r="K35" s="25"/>
      <c r="L35" s="25"/>
    </row>
    <row r="36" spans="1:12" x14ac:dyDescent="0.3">
      <c r="A36" s="26" t="str">
        <v>Prueba 35</v>
      </c>
      <c r="B36" s="26" t="str">
        <v>238829520 -&gt; 5990070#1 | t=500 | 25/05/2026 20:30</v>
      </c>
      <c r="C36" s="26">
        <v>199</v>
      </c>
      <c r="D36" s="26">
        <v>134</v>
      </c>
      <c r="E36" s="27">
        <f t="shared" si="0"/>
        <v>65</v>
      </c>
      <c r="F36" s="28">
        <v>0.32663316582914576</v>
      </c>
      <c r="G36" s="26">
        <v>40.813200000000002</v>
      </c>
      <c r="H36" s="26">
        <v>1</v>
      </c>
      <c r="I36" s="26" t="str">
        <v>Mejora</v>
      </c>
      <c r="K36" s="25"/>
      <c r="L36" s="25"/>
    </row>
    <row r="37" spans="1:12" x14ac:dyDescent="0.3">
      <c r="A37" s="26" t="str">
        <v>Prueba 36</v>
      </c>
      <c r="B37" s="26" t="str">
        <v>238829520 -&gt; 5990070#1 | t=500 | 25/05/2026 20:45</v>
      </c>
      <c r="C37" s="26">
        <v>199</v>
      </c>
      <c r="D37" s="26">
        <v>135</v>
      </c>
      <c r="E37" s="27">
        <f t="shared" si="0"/>
        <v>64</v>
      </c>
      <c r="F37" s="28">
        <v>0.32160804020100497</v>
      </c>
      <c r="G37" s="26">
        <v>40.428000000000004</v>
      </c>
      <c r="H37" s="26">
        <v>1</v>
      </c>
      <c r="I37" s="26" t="str">
        <v>Mejora</v>
      </c>
      <c r="K37" s="25"/>
      <c r="L37" s="25"/>
    </row>
    <row r="38" spans="1:12" x14ac:dyDescent="0.3">
      <c r="A38" s="26" t="str">
        <v>Prueba 37</v>
      </c>
      <c r="B38" s="26" t="str">
        <v>238829520 -&gt; 5990070#1 | t=500 | 25/05/2026 21:35</v>
      </c>
      <c r="C38" s="26">
        <v>199</v>
      </c>
      <c r="D38" s="26">
        <v>127</v>
      </c>
      <c r="E38" s="27">
        <f t="shared" si="0"/>
        <v>72</v>
      </c>
      <c r="F38" s="28">
        <v>0.36180904522613067</v>
      </c>
      <c r="G38" s="26">
        <v>40.510800000000003</v>
      </c>
      <c r="H38" s="26">
        <v>2</v>
      </c>
      <c r="I38" s="26" t="str">
        <v>Mejora</v>
      </c>
      <c r="K38" s="25"/>
      <c r="L38" s="25"/>
    </row>
    <row r="39" spans="1:12" x14ac:dyDescent="0.3">
      <c r="A39" s="26" t="str">
        <v>Prueba 38</v>
      </c>
      <c r="B39" s="26" t="str">
        <v>238829520 -&gt; 5990070#1 | t=500 | 25/05/2026 22:10</v>
      </c>
      <c r="C39" s="26">
        <v>200</v>
      </c>
      <c r="D39" s="26">
        <v>123</v>
      </c>
      <c r="E39" s="27">
        <f t="shared" si="0"/>
        <v>77</v>
      </c>
      <c r="F39" s="28">
        <v>0.38499999999999995</v>
      </c>
      <c r="G39" s="26">
        <v>44.463600000000007</v>
      </c>
      <c r="H39" s="26">
        <v>3</v>
      </c>
      <c r="I39" s="26" t="str">
        <v>Mejora</v>
      </c>
      <c r="K39" s="25"/>
      <c r="L39" s="25"/>
    </row>
    <row r="40" spans="1:12" x14ac:dyDescent="0.3">
      <c r="A40" s="26" t="str">
        <v>Prueba 39</v>
      </c>
      <c r="B40" s="26" t="str">
        <v>238829520 -&gt; 5990070#1 | t=500 | 25/05/2026 23:40</v>
      </c>
      <c r="C40" s="26">
        <v>200.99999999999997</v>
      </c>
      <c r="D40" s="26">
        <v>134</v>
      </c>
      <c r="E40" s="27">
        <f t="shared" si="0"/>
        <v>66.999999999999972</v>
      </c>
      <c r="F40" s="28">
        <v>0.33333333333333331</v>
      </c>
      <c r="G40" s="26">
        <v>40.7196</v>
      </c>
      <c r="H40" s="26">
        <v>1</v>
      </c>
      <c r="I40" s="26" t="str">
        <v>Mejora</v>
      </c>
      <c r="K40" s="25" t="s">
        <v>44</v>
      </c>
      <c r="L40" s="25" t="s">
        <v>42</v>
      </c>
    </row>
    <row r="41" spans="1:12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</row>
    <row r="42" spans="1:12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</row>
    <row r="43" spans="1:12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</row>
    <row r="44" spans="1:12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</row>
    <row r="45" spans="1:12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</row>
    <row r="46" spans="1:12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</row>
    <row r="47" spans="1:12" x14ac:dyDescent="0.3">
      <c r="A47" s="1" t="str">
        <v>Prueba 46</v>
      </c>
      <c r="B47" s="1" t="str">
        <v>238829520 -&gt; 5990070#1 | t=500 | 24/07/2026 20:55</v>
      </c>
      <c r="C47" s="1">
        <v>199</v>
      </c>
      <c r="D47" s="1">
        <v>126</v>
      </c>
      <c r="E47" s="18">
        <f t="shared" si="0"/>
        <v>73</v>
      </c>
      <c r="F47" s="7">
        <v>0.36683417085427134</v>
      </c>
      <c r="G47" s="1">
        <v>43.498800000000003</v>
      </c>
      <c r="H47" s="1">
        <v>2</v>
      </c>
      <c r="I47" s="1" t="str">
        <v>Mejora</v>
      </c>
    </row>
    <row r="48" spans="1:12" x14ac:dyDescent="0.3">
      <c r="A48" s="1" t="str">
        <v>Prueba 47</v>
      </c>
      <c r="B48" s="1" t="str">
        <v>238829520 -&gt; 5990070#1 | t=500 | 26/07/2026 12:20</v>
      </c>
      <c r="C48" s="1">
        <v>199</v>
      </c>
      <c r="D48" s="1">
        <v>130</v>
      </c>
      <c r="E48" s="18">
        <f t="shared" si="0"/>
        <v>69</v>
      </c>
      <c r="F48" s="7">
        <v>0.34673366834170855</v>
      </c>
      <c r="G48" s="1">
        <v>42.130800000000001</v>
      </c>
      <c r="H48" s="1">
        <v>1</v>
      </c>
      <c r="I48" s="1" t="str">
        <v>Mejora</v>
      </c>
    </row>
    <row r="49" spans="1:9" x14ac:dyDescent="0.3">
      <c r="A49" s="1" t="str">
        <v>Prueba 48</v>
      </c>
      <c r="B49" s="1" t="str">
        <v>238829520 -&gt; 5990070#1 | t=500 | 26/07/2026 12:20</v>
      </c>
      <c r="C49" s="1">
        <v>199</v>
      </c>
      <c r="D49" s="1">
        <v>130</v>
      </c>
      <c r="E49" s="18">
        <f t="shared" si="0"/>
        <v>69</v>
      </c>
      <c r="F49" s="7">
        <v>0.34673366834170855</v>
      </c>
      <c r="G49" s="1">
        <v>42.130800000000001</v>
      </c>
      <c r="H49" s="1">
        <v>1</v>
      </c>
      <c r="I49" s="1" t="str">
        <v>Mejora</v>
      </c>
    </row>
    <row r="50" spans="1:9" x14ac:dyDescent="0.3">
      <c r="A50" s="1" t="str">
        <v>Prueba 49</v>
      </c>
      <c r="B50" s="1" t="str">
        <v>238829520 -&gt; 5990070#1 | t=500 | 26/07/2026 12:45</v>
      </c>
      <c r="C50" s="1">
        <v>199</v>
      </c>
      <c r="D50" s="1">
        <v>129</v>
      </c>
      <c r="E50" s="18">
        <f t="shared" si="0"/>
        <v>70</v>
      </c>
      <c r="F50" s="7">
        <v>0.35175879396984921</v>
      </c>
      <c r="G50" s="1">
        <v>42.39</v>
      </c>
      <c r="H50" s="1">
        <v>1</v>
      </c>
      <c r="I50" s="1" t="str">
        <v>Mejora</v>
      </c>
    </row>
    <row r="51" spans="1:9" x14ac:dyDescent="0.3">
      <c r="A51" s="1" t="str">
        <v>Prueba 50</v>
      </c>
      <c r="B51" s="1" t="str">
        <v>238829520 -&gt; 5990070#1 | t=500 | 26/07/2026 12:50</v>
      </c>
      <c r="C51" s="1">
        <v>199</v>
      </c>
      <c r="D51" s="1">
        <v>137</v>
      </c>
      <c r="E51" s="18">
        <f t="shared" si="0"/>
        <v>62</v>
      </c>
      <c r="F51" s="7">
        <v>0.31155778894472363</v>
      </c>
      <c r="G51" s="1">
        <v>39.949199999999998</v>
      </c>
      <c r="H51" s="1">
        <v>1</v>
      </c>
      <c r="I51" s="1" t="str">
        <v>Mejora</v>
      </c>
    </row>
    <row r="52" spans="1:9" x14ac:dyDescent="0.3">
      <c r="A52" s="1" t="str">
        <v>Prueba 51</v>
      </c>
      <c r="B52" s="1" t="str">
        <v>238829520 -&gt; 5990532 | t=500 | 26/07/2026 12:55</v>
      </c>
      <c r="C52" s="1">
        <v>333</v>
      </c>
      <c r="D52" s="1">
        <v>324</v>
      </c>
      <c r="E52" s="18">
        <f t="shared" si="0"/>
        <v>9</v>
      </c>
      <c r="F52" s="7">
        <v>2.7027027027027088E-2</v>
      </c>
      <c r="G52" s="1">
        <v>22.608000000000001</v>
      </c>
      <c r="H52" s="1">
        <v>5</v>
      </c>
      <c r="I52" s="1" t="str">
        <v>Mejora</v>
      </c>
    </row>
    <row r="53" spans="1:9" x14ac:dyDescent="0.3">
      <c r="A53" s="1" t="str">
        <v>Prueba 52</v>
      </c>
      <c r="B53" s="1" t="str">
        <v>238829520 -&gt; 5990532 | t=500 | 26/07/2026 18:25</v>
      </c>
      <c r="C53" s="1">
        <v>232.5</v>
      </c>
      <c r="D53" s="1">
        <v>168</v>
      </c>
      <c r="E53" s="18">
        <f t="shared" si="0"/>
        <v>64.5</v>
      </c>
      <c r="F53" s="7">
        <v>0.27741935483870972</v>
      </c>
      <c r="G53" s="1">
        <v>43.754400000000004</v>
      </c>
      <c r="H53" s="1">
        <v>2</v>
      </c>
      <c r="I53" s="1" t="str">
        <v>Mejora</v>
      </c>
    </row>
    <row r="54" spans="1:9" x14ac:dyDescent="0.3">
      <c r="A54" s="1" t="str">
        <v>Prueba 53</v>
      </c>
      <c r="B54" s="1" t="str">
        <v>238829520 -&gt; 5990532 | t=500 | 26/07/2026 18:25</v>
      </c>
      <c r="C54" s="1">
        <v>232.5</v>
      </c>
      <c r="D54" s="1">
        <v>196</v>
      </c>
      <c r="E54" s="18">
        <f t="shared" si="0"/>
        <v>36.5</v>
      </c>
      <c r="F54" s="7">
        <v>0.1569892473118279</v>
      </c>
      <c r="G54" s="1">
        <v>37.497600000000006</v>
      </c>
      <c r="H54" s="1">
        <v>4</v>
      </c>
      <c r="I54" s="1" t="str">
        <v>Mejora</v>
      </c>
    </row>
    <row r="55" spans="1:9" x14ac:dyDescent="0.3">
      <c r="A55" s="1" t="str">
        <v>Prueba 54</v>
      </c>
      <c r="B55" s="1" t="str">
        <v>238829520 -&gt; 5990532 | t=500 | 27/07/2026 17:50</v>
      </c>
      <c r="C55" s="1">
        <v>190</v>
      </c>
      <c r="D55" s="1">
        <v>158</v>
      </c>
      <c r="E55" s="18">
        <f t="shared" si="0"/>
        <v>32</v>
      </c>
      <c r="F55" s="7">
        <v>0.168421052631579</v>
      </c>
      <c r="G55" s="1">
        <v>46.623600000000003</v>
      </c>
      <c r="H55" s="1">
        <v>4</v>
      </c>
      <c r="I55" s="1" t="str">
        <v>Mejora</v>
      </c>
    </row>
    <row r="56" spans="1:9" x14ac:dyDescent="0.3">
      <c r="A56" s="1" t="str">
        <v>Prueba 55</v>
      </c>
      <c r="B56" s="1" t="str">
        <v>238829520 -&gt; 5990532 | t=700 | 27/07/2026 17:50</v>
      </c>
      <c r="C56" s="1">
        <v>272</v>
      </c>
      <c r="D56" s="1">
        <v>279</v>
      </c>
      <c r="E56" s="18">
        <f t="shared" si="0"/>
        <v>-7</v>
      </c>
      <c r="F56" s="7">
        <v>-2.573529411764704E-2</v>
      </c>
      <c r="G56" s="1">
        <v>26.4132</v>
      </c>
      <c r="H56" s="1">
        <v>2</v>
      </c>
      <c r="I56" s="1" t="str">
        <v>Empeora</v>
      </c>
    </row>
    <row r="57" spans="1:9" x14ac:dyDescent="0.3">
      <c r="A57" s="1" t="str">
        <v>Prueba 56</v>
      </c>
      <c r="B57" s="1" t="str">
        <v>238829520 -&gt; 5990532 | t=500 | 27/07/2026 17:50</v>
      </c>
      <c r="C57" s="1">
        <v>190</v>
      </c>
      <c r="D57" s="1">
        <v>158</v>
      </c>
      <c r="E57" s="18">
        <f t="shared" si="0"/>
        <v>32</v>
      </c>
      <c r="F57" s="7">
        <v>0.168421052631579</v>
      </c>
      <c r="G57" s="1">
        <v>46.623600000000003</v>
      </c>
      <c r="H57" s="1">
        <v>4</v>
      </c>
      <c r="I57" s="1" t="str">
        <v>Mejora</v>
      </c>
    </row>
    <row r="58" spans="1:9" x14ac:dyDescent="0.3">
      <c r="A58" s="1" t="str">
        <v>Prueba 57</v>
      </c>
      <c r="B58" s="1" t="str">
        <v>238829520 -&gt; 5990532 | t=2000 | 27/07/2026 18:05</v>
      </c>
      <c r="C58" s="1">
        <v>401</v>
      </c>
      <c r="D58" s="1">
        <v>344</v>
      </c>
      <c r="E58" s="18">
        <f t="shared" si="0"/>
        <v>57</v>
      </c>
      <c r="F58" s="7">
        <v>0.14214463840399</v>
      </c>
      <c r="G58" s="1">
        <v>21.3048</v>
      </c>
      <c r="H58" s="1">
        <v>4</v>
      </c>
      <c r="I58" s="1" t="str">
        <v>Mejora</v>
      </c>
    </row>
    <row r="59" spans="1:9" x14ac:dyDescent="0.3">
      <c r="A59" s="1" t="str">
        <v>Prueba 58</v>
      </c>
      <c r="B59" s="1" t="str">
        <v>238829520 -&gt; 5990532 | t=1500 | 27/07/2026 18:05</v>
      </c>
      <c r="C59" s="1">
        <v>631</v>
      </c>
      <c r="D59" s="1">
        <v>589</v>
      </c>
      <c r="E59" s="18">
        <f t="shared" si="0"/>
        <v>42</v>
      </c>
      <c r="F59" s="7">
        <v>6.6561014263074439E-2</v>
      </c>
      <c r="G59" s="1">
        <v>12.492000000000001</v>
      </c>
      <c r="H59" s="1">
        <v>6</v>
      </c>
      <c r="I59" s="1" t="str">
        <v>Mejora</v>
      </c>
    </row>
    <row r="60" spans="1:9" x14ac:dyDescent="0.3">
      <c r="A60" s="1" t="str">
        <v>Prueba 59</v>
      </c>
      <c r="B60" s="1" t="str">
        <v>238829520 -&gt; 5990532 | t=500 | 27/07/2026 18:15</v>
      </c>
      <c r="C60" s="1">
        <v>242</v>
      </c>
      <c r="D60" s="1">
        <v>209</v>
      </c>
      <c r="E60" s="18">
        <f t="shared" si="0"/>
        <v>33</v>
      </c>
      <c r="F60" s="7">
        <v>0.13636363636363633</v>
      </c>
      <c r="G60" s="1">
        <v>35.262</v>
      </c>
      <c r="H60" s="1">
        <v>4</v>
      </c>
      <c r="I60" s="1" t="str">
        <v>Mejora</v>
      </c>
    </row>
    <row r="61" spans="1:9" x14ac:dyDescent="0.3">
      <c r="A61" s="1" t="str">
        <v>Prueba 60</v>
      </c>
      <c r="B61" s="1" t="str">
        <v>238829520 -&gt; 5990532 | t=500 | 27/07/2026 18:30</v>
      </c>
      <c r="C61" s="1">
        <v>288</v>
      </c>
      <c r="D61" s="1">
        <v>208</v>
      </c>
      <c r="E61" s="18">
        <f t="shared" si="0"/>
        <v>80</v>
      </c>
      <c r="F61" s="7">
        <v>0.27777777777777779</v>
      </c>
      <c r="G61" s="1">
        <v>35.355600000000003</v>
      </c>
      <c r="H61" s="1">
        <v>4</v>
      </c>
      <c r="I61" s="1" t="str">
        <v>Mejora</v>
      </c>
    </row>
    <row r="62" spans="1:9" x14ac:dyDescent="0.3">
      <c r="A62" s="1" t="str">
        <v>Prueba 61</v>
      </c>
      <c r="B62" s="1" t="str">
        <v>238829520 -&gt; 5990070#1 | t=500 | 27/07/2026 18:35</v>
      </c>
      <c r="C62" s="1">
        <v>200</v>
      </c>
      <c r="D62" s="1">
        <v>135</v>
      </c>
      <c r="E62" s="18">
        <f t="shared" si="0"/>
        <v>65</v>
      </c>
      <c r="F62" s="7">
        <v>0.3249999999999999</v>
      </c>
      <c r="G62" s="1">
        <v>40.5396</v>
      </c>
      <c r="H62" s="1">
        <v>1</v>
      </c>
      <c r="I62" s="1" t="str">
        <v>Mejora</v>
      </c>
    </row>
    <row r="63" spans="1:9" x14ac:dyDescent="0.3">
      <c r="A63" s="1" t="str">
        <v>Prueba 62</v>
      </c>
      <c r="B63" s="1" t="str">
        <v>238829520 -&gt; 5989317 | t=500 | 27/07/2026 18:45</v>
      </c>
      <c r="C63" s="1">
        <v>172</v>
      </c>
      <c r="D63" s="1">
        <v>141</v>
      </c>
      <c r="E63" s="18">
        <f t="shared" si="0"/>
        <v>31</v>
      </c>
      <c r="F63" s="7">
        <v>0.18023255813953487</v>
      </c>
      <c r="G63" s="1">
        <v>47.231999999999999</v>
      </c>
      <c r="H63" s="1">
        <v>4</v>
      </c>
      <c r="I63" s="1" t="str">
        <v>Mejora</v>
      </c>
    </row>
    <row r="64" spans="1:9" x14ac:dyDescent="0.3">
      <c r="A64" s="1" t="str">
        <v>Prueba 63</v>
      </c>
      <c r="B64" s="1" t="str">
        <v>238829520 -&gt; 5989317 | t=500 | 27/07/2026 18:50</v>
      </c>
      <c r="C64" s="1">
        <v>172</v>
      </c>
      <c r="D64" s="1">
        <v>141</v>
      </c>
      <c r="E64" s="18">
        <f t="shared" si="0"/>
        <v>31</v>
      </c>
      <c r="F64" s="7">
        <v>0.18023255813953487</v>
      </c>
      <c r="G64" s="1">
        <v>47.278799999999997</v>
      </c>
      <c r="H64" s="1">
        <v>4</v>
      </c>
      <c r="I64" s="1" t="str">
        <v>Mejora</v>
      </c>
    </row>
    <row r="65" spans="1:9" x14ac:dyDescent="0.3">
      <c r="A65" s="1" t="str">
        <v>Prueba 64</v>
      </c>
      <c r="B65" s="1" t="str">
        <v>238829520 -&gt; 31262308 | t=500 | 27/07/2026 18:55</v>
      </c>
      <c r="C65" s="1">
        <v>296</v>
      </c>
      <c r="D65" s="1">
        <v>267</v>
      </c>
      <c r="E65" s="18">
        <f t="shared" si="0"/>
        <v>29</v>
      </c>
      <c r="F65" s="7">
        <v>9.7972972972973013E-2</v>
      </c>
      <c r="G65" s="1">
        <v>27.3672</v>
      </c>
      <c r="H65" s="1">
        <v>2</v>
      </c>
      <c r="I65" s="1" t="str">
        <v>Mejora</v>
      </c>
    </row>
    <row r="66" spans="1:9" x14ac:dyDescent="0.3">
      <c r="A66" s="1" t="str">
        <v>Prueba 65</v>
      </c>
      <c r="B66" s="1" t="str">
        <v>238829520 -&gt; 5989317 | t=500 | 28/07/2026 12:35</v>
      </c>
      <c r="C66" s="1">
        <v>589</v>
      </c>
      <c r="D66" s="1">
        <v>552</v>
      </c>
      <c r="E66" s="18">
        <f t="shared" si="0"/>
        <v>37</v>
      </c>
      <c r="F66" s="7">
        <v>6.2818336162988056E-2</v>
      </c>
      <c r="G66" s="1">
        <v>12.06</v>
      </c>
      <c r="H66" s="1">
        <v>2</v>
      </c>
      <c r="I66" s="1" t="str">
        <v>Mejora</v>
      </c>
    </row>
    <row r="67" spans="1:9" x14ac:dyDescent="0.3">
      <c r="A67" s="1" t="str">
        <v>Prueba 66</v>
      </c>
      <c r="B67" s="1" t="str">
        <v>238829520 -&gt; 5989317 | t=500 | 28/07/2026 12:35</v>
      </c>
      <c r="C67" s="1">
        <v>589</v>
      </c>
      <c r="D67" s="1">
        <v>552</v>
      </c>
      <c r="E67" s="18">
        <f t="shared" ref="E67:E130" si="1">IF(OR(C67="",D67=""),"",C67-D67)</f>
        <v>37</v>
      </c>
      <c r="F67" s="7">
        <v>6.2818336162988056E-2</v>
      </c>
      <c r="G67" s="1">
        <v>12.06</v>
      </c>
      <c r="H67" s="1">
        <v>2</v>
      </c>
      <c r="I67" s="1" t="str">
        <v>Mejora</v>
      </c>
    </row>
    <row r="68" spans="1:9" x14ac:dyDescent="0.3">
      <c r="A68" s="1" t="str">
        <v>Prueba 67</v>
      </c>
      <c r="B68" s="1" t="str">
        <v>238829520 -&gt; 5989317 | t=500 | 28/07/2026 12:55</v>
      </c>
      <c r="C68" s="1">
        <v>492</v>
      </c>
      <c r="D68" s="1">
        <v>489</v>
      </c>
      <c r="E68" s="18">
        <f t="shared" si="1"/>
        <v>3</v>
      </c>
      <c r="F68" s="7">
        <v>6.0975609756097953E-3</v>
      </c>
      <c r="G68" s="1">
        <v>13.6008</v>
      </c>
      <c r="H68" s="1">
        <v>3</v>
      </c>
      <c r="I68" s="1" t="str">
        <v>Mejora</v>
      </c>
    </row>
    <row r="69" spans="1:9" x14ac:dyDescent="0.3">
      <c r="A69" s="1" t="str">
        <v>Prueba 68</v>
      </c>
      <c r="B69" s="1" t="str">
        <v>238829520 -&gt; 5990070#1 | t=500 | 28/07/2026 13:05</v>
      </c>
      <c r="C69" s="1">
        <v>199</v>
      </c>
      <c r="D69" s="1">
        <v>147</v>
      </c>
      <c r="E69" s="18">
        <f t="shared" si="1"/>
        <v>52</v>
      </c>
      <c r="F69" s="7">
        <v>0.2613065326633166</v>
      </c>
      <c r="G69" s="1">
        <v>37.17</v>
      </c>
      <c r="H69" s="1">
        <v>2</v>
      </c>
      <c r="I69" s="1" t="str">
        <v>Mejora</v>
      </c>
    </row>
    <row r="70" spans="1:9" x14ac:dyDescent="0.3">
      <c r="A70" s="1" t="str">
        <v>Prueba 69</v>
      </c>
      <c r="B70" s="1" t="str">
        <v>238829520 -&gt; 5990070#1 | t=500 | 28/07/2026 13:45</v>
      </c>
      <c r="C70" s="1">
        <v>200.99999999999997</v>
      </c>
      <c r="D70" s="1">
        <v>128</v>
      </c>
      <c r="E70" s="18">
        <f t="shared" si="1"/>
        <v>72.999999999999972</v>
      </c>
      <c r="F70" s="7">
        <v>0.36318407960199001</v>
      </c>
      <c r="G70" s="1">
        <v>42.713999999999999</v>
      </c>
      <c r="H70" s="1">
        <v>3</v>
      </c>
      <c r="I70" s="1" t="str">
        <v>Mejora</v>
      </c>
    </row>
    <row r="71" spans="1:9" x14ac:dyDescent="0.3">
      <c r="A71" s="1" t="str">
        <v>Prueba 70</v>
      </c>
      <c r="B71" s="1" t="str">
        <v>238829520 -&gt; 5990070#1 | t=500 | 28/07/2026 14:00</v>
      </c>
      <c r="C71" s="1">
        <v>199</v>
      </c>
      <c r="D71" s="1">
        <v>155</v>
      </c>
      <c r="E71" s="18">
        <f t="shared" si="1"/>
        <v>44</v>
      </c>
      <c r="F71" s="7">
        <v>0.22110552763819094</v>
      </c>
      <c r="G71" s="1">
        <v>35.225999999999999</v>
      </c>
      <c r="H71" s="1">
        <v>5</v>
      </c>
      <c r="I71" s="1" t="str">
        <v>Mejora</v>
      </c>
    </row>
    <row r="72" spans="1:9" x14ac:dyDescent="0.3">
      <c r="A72" s="1" t="str">
        <v>Prueba 71</v>
      </c>
      <c r="B72" s="1" t="str">
        <v>238829520 -&gt; 5990070#1 | t=500 | 28/07/2026 20:35</v>
      </c>
      <c r="C72" s="1">
        <v>204.50000000000003</v>
      </c>
      <c r="D72" s="1">
        <v>203</v>
      </c>
      <c r="E72" s="18">
        <f t="shared" si="1"/>
        <v>1.5000000000000284</v>
      </c>
      <c r="F72" s="7">
        <v>7.3349633251834209E-3</v>
      </c>
      <c r="G72" s="1">
        <v>26.776799999999998</v>
      </c>
      <c r="H72" s="1">
        <v>1</v>
      </c>
      <c r="I72" s="1" t="str">
        <v>Mejora</v>
      </c>
    </row>
    <row r="73" spans="1:9" x14ac:dyDescent="0.3">
      <c r="A73" s="1" t="str">
        <v>Prueba 72</v>
      </c>
      <c r="B73" s="1" t="str">
        <v>238829520 -&gt; 5990070#1 | t=500 | 28/07/2026 20:35</v>
      </c>
      <c r="C73" s="1">
        <v>204.50000000000003</v>
      </c>
      <c r="D73" s="1">
        <v>271</v>
      </c>
      <c r="E73" s="18">
        <f t="shared" si="1"/>
        <v>-66.499999999999972</v>
      </c>
      <c r="F73" s="7">
        <v>-0.32518337408312953</v>
      </c>
      <c r="G73" s="1">
        <v>20.127600000000001</v>
      </c>
      <c r="H73" s="1">
        <v>3</v>
      </c>
      <c r="I73" s="1" t="str">
        <v>Empeora</v>
      </c>
    </row>
    <row r="74" spans="1:9" x14ac:dyDescent="0.3">
      <c r="A74" s="1" t="str">
        <v>Prueba 73</v>
      </c>
      <c r="B74" s="1" t="str">
        <v>238829520 -&gt; 5990070#1 | t=500 | 28/07/2026 20:45</v>
      </c>
      <c r="C74" s="1">
        <v>199</v>
      </c>
      <c r="D74" s="1">
        <v>183</v>
      </c>
      <c r="E74" s="18">
        <f t="shared" si="1"/>
        <v>16</v>
      </c>
      <c r="F74" s="7">
        <v>8.0402010050251146E-2</v>
      </c>
      <c r="G74" s="1">
        <v>35.506799999999998</v>
      </c>
      <c r="H74" s="1">
        <v>5</v>
      </c>
      <c r="I74" s="1" t="str">
        <v>Mejora</v>
      </c>
    </row>
    <row r="75" spans="1:9" x14ac:dyDescent="0.3">
      <c r="A75" s="1" t="str">
        <v>Prueba 74</v>
      </c>
      <c r="B75" s="1" t="str">
        <v>238829520 -&gt; 5990070#1 | t=500 | 28/07/2026 20:55</v>
      </c>
      <c r="C75" s="1">
        <v>199</v>
      </c>
      <c r="D75" s="1">
        <v>130</v>
      </c>
      <c r="E75" s="18">
        <f t="shared" si="1"/>
        <v>69</v>
      </c>
      <c r="F75" s="7">
        <v>0.34673366834170855</v>
      </c>
      <c r="G75" s="1">
        <v>42.148800000000001</v>
      </c>
      <c r="H75" s="1">
        <v>1</v>
      </c>
      <c r="I75" s="1" t="str">
        <v>Mejora</v>
      </c>
    </row>
    <row r="76" spans="1:9" x14ac:dyDescent="0.3">
      <c r="A76" s="1" t="str">
        <v>Prueba 75</v>
      </c>
      <c r="B76" s="1" t="str">
        <v>238829520 -&gt; 5990070#1 | t=500 | 28/07/2026 21:15</v>
      </c>
      <c r="C76" s="1">
        <v>199</v>
      </c>
      <c r="D76" s="1">
        <v>141</v>
      </c>
      <c r="E76" s="18">
        <f t="shared" si="1"/>
        <v>58</v>
      </c>
      <c r="F76" s="7">
        <v>0.29145728643216073</v>
      </c>
      <c r="G76" s="1">
        <v>38.8476</v>
      </c>
      <c r="H76" s="1">
        <v>3</v>
      </c>
      <c r="I76" s="1" t="str">
        <v>Mejora</v>
      </c>
    </row>
    <row r="77" spans="1:9" x14ac:dyDescent="0.3">
      <c r="A77" s="1" t="str">
        <v>Prueba 76</v>
      </c>
      <c r="B77" s="1" t="str">
        <v>238829520 -&gt; 5990070#1 | t=500 | 28/07/2026 21:35</v>
      </c>
      <c r="C77" s="1">
        <v>199</v>
      </c>
      <c r="D77" s="1">
        <v>149</v>
      </c>
      <c r="E77" s="18">
        <f t="shared" si="1"/>
        <v>50</v>
      </c>
      <c r="F77" s="7">
        <v>0.25125628140703515</v>
      </c>
      <c r="G77" s="1">
        <v>36.669600000000003</v>
      </c>
      <c r="H77" s="1">
        <v>2</v>
      </c>
      <c r="I77" s="1" t="str">
        <v>Mejora</v>
      </c>
    </row>
    <row r="78" spans="1:9" x14ac:dyDescent="0.3">
      <c r="A78" s="1" t="str">
        <v>Prueba 77</v>
      </c>
      <c r="B78" s="1" t="str">
        <v>238829520 -&gt; 5990070#1 | t=500 | 28/07/2026 21:55</v>
      </c>
      <c r="C78" s="1">
        <v>199</v>
      </c>
      <c r="D78" s="1">
        <v>155</v>
      </c>
      <c r="E78" s="18">
        <f t="shared" si="1"/>
        <v>44</v>
      </c>
      <c r="F78" s="7">
        <v>0.22110552763819094</v>
      </c>
      <c r="G78" s="1">
        <v>35.186399999999999</v>
      </c>
      <c r="H78" s="1">
        <v>3</v>
      </c>
      <c r="I78" s="1" t="str">
        <v>Mejora</v>
      </c>
    </row>
    <row r="79" spans="1:9" x14ac:dyDescent="0.3">
      <c r="A79" s="1" t="str">
        <v>Prueba 78</v>
      </c>
      <c r="B79" s="1" t="str">
        <v>238829520 -&gt; 5990070#1 | t=500 | 28/07/2026 21:55</v>
      </c>
      <c r="C79" s="1">
        <v>199</v>
      </c>
      <c r="D79" s="1">
        <v>161</v>
      </c>
      <c r="E79" s="18">
        <f t="shared" si="1"/>
        <v>38</v>
      </c>
      <c r="F79" s="7">
        <v>0.1909547738693467</v>
      </c>
      <c r="G79" s="1">
        <v>40.3812</v>
      </c>
      <c r="H79" s="1">
        <v>6</v>
      </c>
      <c r="I79" s="1" t="str">
        <v>Mejora</v>
      </c>
    </row>
    <row r="80" spans="1:9" x14ac:dyDescent="0.3">
      <c r="A80" s="1" t="str">
        <v>Prueba 79</v>
      </c>
      <c r="B80" s="1" t="str">
        <v>238829520 -&gt; 5990070#1 | t=500 | 28/07/2026 22:10</v>
      </c>
      <c r="C80" s="1">
        <v>199</v>
      </c>
      <c r="D80" s="1">
        <v>129</v>
      </c>
      <c r="E80" s="18">
        <f t="shared" si="1"/>
        <v>70</v>
      </c>
      <c r="F80" s="7">
        <v>0.35175879396984921</v>
      </c>
      <c r="G80" s="1">
        <v>42.325200000000002</v>
      </c>
      <c r="H80" s="1">
        <v>2</v>
      </c>
      <c r="I80" s="1" t="str">
        <v>Mejora</v>
      </c>
    </row>
    <row r="81" spans="1:9" x14ac:dyDescent="0.3">
      <c r="A81" s="1" t="str">
        <v>Prueba 80</v>
      </c>
      <c r="B81" s="1" t="str">
        <v>238829520 -&gt; 5990070#1 | t=500 | 28/07/2026 22:20</v>
      </c>
      <c r="C81" s="1">
        <v>199</v>
      </c>
      <c r="D81" s="1">
        <v>130</v>
      </c>
      <c r="E81" s="18">
        <f t="shared" si="1"/>
        <v>69</v>
      </c>
      <c r="F81" s="7">
        <v>0.34673366834170855</v>
      </c>
      <c r="G81" s="1">
        <v>42.066000000000003</v>
      </c>
      <c r="H81" s="1">
        <v>2</v>
      </c>
      <c r="I81" s="1" t="str">
        <v>Mejora</v>
      </c>
    </row>
    <row r="82" spans="1:9" x14ac:dyDescent="0.3">
      <c r="A82" s="1" t="str">
        <v>Prueba 81</v>
      </c>
      <c r="B82" s="1" t="str">
        <v>238829520 -&gt; 5990070#1 | t=500 | 28/07/2026 23:25</v>
      </c>
      <c r="C82" s="1">
        <v>199</v>
      </c>
      <c r="D82" s="1">
        <v>153</v>
      </c>
      <c r="E82" s="18">
        <f t="shared" si="1"/>
        <v>46</v>
      </c>
      <c r="F82" s="7">
        <v>0.23115577889447239</v>
      </c>
      <c r="G82" s="1">
        <v>42.490800000000007</v>
      </c>
      <c r="H82" s="1">
        <v>5</v>
      </c>
      <c r="I82" s="1" t="str">
        <v>Mejora</v>
      </c>
    </row>
    <row r="83" spans="1:9" x14ac:dyDescent="0.3">
      <c r="A83" s="1" t="str">
        <v>Prueba 82</v>
      </c>
      <c r="B83" s="1" t="str">
        <v>238829520 -&gt; 5990070#1 | t=500 | 29/07/2026 11:25</v>
      </c>
      <c r="C83" s="1">
        <v>199</v>
      </c>
      <c r="D83" s="1">
        <v>145</v>
      </c>
      <c r="E83" s="18">
        <f t="shared" si="1"/>
        <v>54</v>
      </c>
      <c r="F83" s="7">
        <v>0.27135678391959794</v>
      </c>
      <c r="G83" s="1">
        <v>37.702800000000003</v>
      </c>
      <c r="H83" s="1">
        <v>4</v>
      </c>
      <c r="I83" s="1" t="str">
        <v>Mejora</v>
      </c>
    </row>
    <row r="84" spans="1:9" x14ac:dyDescent="0.3">
      <c r="A84" s="1" t="str">
        <v>Prueba 83</v>
      </c>
      <c r="B84" s="1" t="str">
        <v>238829520 -&gt; 5990070#1 | t=500 | 29/07/2026 11:25</v>
      </c>
      <c r="C84" s="1">
        <v>199</v>
      </c>
      <c r="D84" s="1">
        <v>168</v>
      </c>
      <c r="E84" s="18">
        <f t="shared" si="1"/>
        <v>31</v>
      </c>
      <c r="F84" s="7">
        <v>0.15577889447236182</v>
      </c>
      <c r="G84" s="1">
        <v>32.500800000000005</v>
      </c>
      <c r="H84" s="1">
        <v>4</v>
      </c>
      <c r="I84" s="1" t="str">
        <v>Mejora</v>
      </c>
    </row>
    <row r="85" spans="1:9" x14ac:dyDescent="0.3">
      <c r="A85" s="1" t="str">
        <v>Prueba 84</v>
      </c>
      <c r="B85" s="1" t="str">
        <v>238829520 -&gt; 5990070#1 | t=500 | 29/07/2026 12:00</v>
      </c>
      <c r="C85" s="1">
        <v>199</v>
      </c>
      <c r="D85" s="1">
        <v>146</v>
      </c>
      <c r="E85" s="18">
        <f t="shared" si="1"/>
        <v>53</v>
      </c>
      <c r="F85" s="7">
        <v>0.26633165829145727</v>
      </c>
      <c r="G85" s="1">
        <v>37.429200000000002</v>
      </c>
      <c r="H85" s="1">
        <v>4</v>
      </c>
      <c r="I85" s="1" t="str">
        <v>Mejora</v>
      </c>
    </row>
    <row r="86" spans="1:9" x14ac:dyDescent="0.3">
      <c r="A86" s="1" t="str">
        <v>Prueba 85</v>
      </c>
      <c r="B86" s="1" t="str">
        <v>238829520 -&gt; 5990070#1 | t=500 | 29/07/2026 12:10</v>
      </c>
      <c r="C86" s="1">
        <v>199</v>
      </c>
      <c r="D86" s="1">
        <v>128</v>
      </c>
      <c r="E86" s="18">
        <f t="shared" si="1"/>
        <v>71</v>
      </c>
      <c r="F86" s="7">
        <v>0.35678391959798994</v>
      </c>
      <c r="G86" s="1">
        <v>42.771599999999999</v>
      </c>
      <c r="H86" s="1">
        <v>3</v>
      </c>
      <c r="I86" s="1" t="str">
        <v>Mejora</v>
      </c>
    </row>
    <row r="87" spans="1:9" x14ac:dyDescent="0.3">
      <c r="A87" s="1" t="str">
        <v>Prueba 86</v>
      </c>
      <c r="B87" s="1" t="str">
        <v>238829520 -&gt; 5990070#1 | t=500 | 29/07/2026 20:25</v>
      </c>
      <c r="C87" s="1">
        <v>199</v>
      </c>
      <c r="D87" s="1">
        <v>151</v>
      </c>
      <c r="E87" s="18">
        <f t="shared" si="1"/>
        <v>48</v>
      </c>
      <c r="F87" s="7">
        <v>0.24120603015075373</v>
      </c>
      <c r="G87" s="1">
        <v>43.131599999999999</v>
      </c>
      <c r="H87" s="1">
        <v>5</v>
      </c>
      <c r="I87" s="1" t="str">
        <v>Mejora</v>
      </c>
    </row>
    <row r="88" spans="1:9" x14ac:dyDescent="0.3">
      <c r="A88" s="1" t="str">
        <v>Prueba 87</v>
      </c>
      <c r="B88" s="1" t="str">
        <v>238829520 -&gt; 5990070#1 | t=500 | 29/07/2026 20:30</v>
      </c>
      <c r="C88" s="1">
        <v>203</v>
      </c>
      <c r="D88" s="1">
        <v>151</v>
      </c>
      <c r="E88" s="18">
        <f t="shared" si="1"/>
        <v>52</v>
      </c>
      <c r="F88" s="7">
        <v>0.25615763546798032</v>
      </c>
      <c r="G88" s="1">
        <v>43.0884</v>
      </c>
      <c r="H88" s="1">
        <v>5</v>
      </c>
      <c r="I88" s="1" t="str">
        <v>Mejora</v>
      </c>
    </row>
    <row r="89" spans="1:9" x14ac:dyDescent="0.3">
      <c r="A89" s="1" t="str">
        <v>Prueba 88</v>
      </c>
      <c r="B89" s="1" t="str">
        <v>238829520 -&gt; 5990070#1 | t=500 | 29/07/2026 20:30</v>
      </c>
      <c r="C89" s="1">
        <v>203</v>
      </c>
      <c r="D89" s="1">
        <v>151</v>
      </c>
      <c r="E89" s="18">
        <f t="shared" si="1"/>
        <v>52</v>
      </c>
      <c r="F89" s="7">
        <v>0.25615763546798032</v>
      </c>
      <c r="G89" s="1">
        <v>43.0884</v>
      </c>
      <c r="H89" s="1">
        <v>5</v>
      </c>
      <c r="I89" s="1" t="str">
        <v>Mejora</v>
      </c>
    </row>
    <row r="90" spans="1:9" x14ac:dyDescent="0.3">
      <c r="A90" s="1" t="str">
        <v>Prueba 89</v>
      </c>
      <c r="B90" s="1" t="str">
        <v>238829520 -&gt; 5990070#1 | t=500 | 29/07/2026 20:35</v>
      </c>
      <c r="C90" s="1">
        <v>200</v>
      </c>
      <c r="D90" s="1">
        <v>187</v>
      </c>
      <c r="E90" s="18">
        <f t="shared" si="1"/>
        <v>13</v>
      </c>
      <c r="F90" s="7">
        <v>6.4999999999999988E-2</v>
      </c>
      <c r="G90" s="1">
        <v>34.743600000000001</v>
      </c>
      <c r="H90" s="1">
        <v>5</v>
      </c>
      <c r="I90" s="1" t="str">
        <v>Mejora</v>
      </c>
    </row>
    <row r="91" spans="1:9" x14ac:dyDescent="0.3">
      <c r="A91" s="1" t="str">
        <v>Prueba 90</v>
      </c>
      <c r="B91" s="1" t="str">
        <v>238829520 -&gt; 5990070#1 | t=500 | 29/07/2026 20:40</v>
      </c>
      <c r="C91" s="1">
        <v>199</v>
      </c>
      <c r="D91" s="1">
        <v>151</v>
      </c>
      <c r="E91" s="18">
        <f t="shared" si="1"/>
        <v>48</v>
      </c>
      <c r="F91" s="7">
        <v>0.24120603015075373</v>
      </c>
      <c r="G91" s="1">
        <v>43.023600000000002</v>
      </c>
      <c r="H91" s="1">
        <v>5</v>
      </c>
      <c r="I91" s="1" t="str">
        <v>Mejora</v>
      </c>
    </row>
    <row r="92" spans="1:9" x14ac:dyDescent="0.3">
      <c r="A92" s="1" t="str">
        <v>Prueba 91</v>
      </c>
      <c r="B92" s="1" t="str">
        <v>238829520 -&gt; 5990070#1 | t=500 | 30/07/2026 18:30</v>
      </c>
      <c r="C92" s="1">
        <v>200</v>
      </c>
      <c r="D92" s="1">
        <v>181</v>
      </c>
      <c r="E92" s="18">
        <f t="shared" si="1"/>
        <v>19</v>
      </c>
      <c r="F92" s="7">
        <v>9.4999999999999987E-2</v>
      </c>
      <c r="G92" s="1">
        <v>35.892000000000003</v>
      </c>
      <c r="H92" s="1">
        <v>6</v>
      </c>
      <c r="I92" s="1" t="str">
        <v>Mejora</v>
      </c>
    </row>
    <row r="93" spans="1:9" x14ac:dyDescent="0.3">
      <c r="A93" s="1" t="str">
        <v>Prueba 92</v>
      </c>
      <c r="B93" s="1" t="str">
        <v>238829520 -&gt; 5990532 | t=500 | 30/07/2026 18:30</v>
      </c>
      <c r="C93" s="1">
        <v>541</v>
      </c>
      <c r="D93" s="1">
        <v>543</v>
      </c>
      <c r="E93" s="18">
        <f t="shared" si="1"/>
        <v>-2</v>
      </c>
      <c r="F93" s="7">
        <v>-3.6968576709796451E-3</v>
      </c>
      <c r="G93" s="1">
        <v>14.9724</v>
      </c>
      <c r="H93" s="1">
        <v>7</v>
      </c>
      <c r="I93" s="1" t="str">
        <v>Empeora</v>
      </c>
    </row>
    <row r="94" spans="1:9" x14ac:dyDescent="0.3">
      <c r="A94" s="1" t="str">
        <v>Prueba 93</v>
      </c>
      <c r="B94" s="1" t="str">
        <v>238829520 -&gt; 5990070#1 | t=500 | 30/07/2026 19:50</v>
      </c>
      <c r="C94" s="1">
        <v>199</v>
      </c>
      <c r="D94" s="1">
        <v>150</v>
      </c>
      <c r="E94" s="18">
        <f t="shared" si="1"/>
        <v>49</v>
      </c>
      <c r="F94" s="7">
        <v>0.24623115577889448</v>
      </c>
      <c r="G94" s="1">
        <v>43.131599999999999</v>
      </c>
      <c r="H94" s="1">
        <v>5</v>
      </c>
      <c r="I94" s="1" t="str">
        <v>Mejora</v>
      </c>
    </row>
    <row r="95" spans="1:9" x14ac:dyDescent="0.3">
      <c r="A95" s="1" t="str">
        <v>Prueba 94</v>
      </c>
      <c r="B95" s="1" t="str">
        <v>238829520 -&gt; 5990070#2 | t=500 | 31/07/2026 10:45</v>
      </c>
      <c r="C95" s="1">
        <v>218</v>
      </c>
      <c r="D95" s="1">
        <v>157</v>
      </c>
      <c r="E95" s="18">
        <f t="shared" si="1"/>
        <v>61</v>
      </c>
      <c r="F95" s="7">
        <v>0.27981651376146782</v>
      </c>
      <c r="G95" s="1">
        <v>43.668000000000006</v>
      </c>
      <c r="H95" s="1">
        <v>4</v>
      </c>
      <c r="I95" s="1" t="str">
        <v>Mejora</v>
      </c>
    </row>
    <row r="96" spans="1:9" x14ac:dyDescent="0.3">
      <c r="A96" s="1" t="str">
        <v>Prueba 95</v>
      </c>
      <c r="B96" s="1" t="str">
        <v>238829520 -&gt; 5990070#1 | t=500 | 31/07/2026 10:45</v>
      </c>
      <c r="C96" s="1">
        <v>199</v>
      </c>
      <c r="D96" s="1">
        <v>150</v>
      </c>
      <c r="E96" s="18">
        <f t="shared" si="1"/>
        <v>49</v>
      </c>
      <c r="F96" s="7">
        <v>0.24623115577889448</v>
      </c>
      <c r="G96" s="1">
        <v>43.430399999999999</v>
      </c>
      <c r="H96" s="1">
        <v>4</v>
      </c>
      <c r="I96" s="1" t="str">
        <v>Mejora</v>
      </c>
    </row>
    <row r="97" spans="1:9" x14ac:dyDescent="0.3">
      <c r="A97" s="1" t="str">
        <v>Prueba 96</v>
      </c>
      <c r="B97" s="1" t="str">
        <v>5990070#1 -&gt; 238829520 | t=501 | 31/07/2026 10:50</v>
      </c>
      <c r="C97" s="1">
        <v>147</v>
      </c>
      <c r="D97" s="1">
        <v>147</v>
      </c>
      <c r="E97" s="18">
        <f t="shared" si="1"/>
        <v>0</v>
      </c>
      <c r="F97" s="7">
        <v>0</v>
      </c>
      <c r="G97" s="1">
        <v>39.848400000000005</v>
      </c>
      <c r="H97" s="1">
        <v>1</v>
      </c>
      <c r="I97" s="1" t="str">
        <v>Igual</v>
      </c>
    </row>
    <row r="98" spans="1:9" x14ac:dyDescent="0.3">
      <c r="A98" s="1" t="str">
        <v>Prueba 97</v>
      </c>
      <c r="B98" s="1" t="str">
        <v>238829520 -&gt; 5990070#3 | t=500 | 31/07/2026 11:00</v>
      </c>
      <c r="C98" s="1">
        <v>174</v>
      </c>
      <c r="D98" s="1">
        <v>174</v>
      </c>
      <c r="E98" s="18">
        <f t="shared" si="1"/>
        <v>0</v>
      </c>
      <c r="F98" s="7">
        <v>0</v>
      </c>
      <c r="G98" s="1">
        <v>41.212800000000001</v>
      </c>
      <c r="H98" s="1">
        <v>6</v>
      </c>
      <c r="I98" s="1" t="str">
        <v>Igual</v>
      </c>
    </row>
    <row r="99" spans="1:9" x14ac:dyDescent="0.3">
      <c r="A99" s="1" t="str">
        <v>Prueba 98</v>
      </c>
      <c r="B99" s="1" t="str">
        <v>238829520 -&gt; 5990070#1 | t=500 | 31/07/2026 11:00</v>
      </c>
      <c r="C99" s="1">
        <v>199</v>
      </c>
      <c r="D99" s="1">
        <v>160</v>
      </c>
      <c r="E99" s="18">
        <f t="shared" si="1"/>
        <v>39</v>
      </c>
      <c r="F99" s="7">
        <v>0.1959798994974874</v>
      </c>
      <c r="G99" s="1">
        <v>40.557600000000001</v>
      </c>
      <c r="H99" s="1">
        <v>6</v>
      </c>
      <c r="I99" s="1" t="str">
        <v>Mejora</v>
      </c>
    </row>
    <row r="100" spans="1:9" x14ac:dyDescent="0.3">
      <c r="A100" s="1" t="str">
        <v>Prueba 99</v>
      </c>
      <c r="B100" s="1" t="str">
        <v>238829520 -&gt; 5990070#1 | t=500 | 31/07/2026 11:10</v>
      </c>
      <c r="C100" s="1">
        <v>199</v>
      </c>
      <c r="D100" s="1">
        <v>186</v>
      </c>
      <c r="E100" s="18">
        <f t="shared" si="1"/>
        <v>13</v>
      </c>
      <c r="F100" s="7">
        <v>6.5326633165829123E-2</v>
      </c>
      <c r="G100" s="1">
        <v>34.930799999999998</v>
      </c>
      <c r="H100" s="1">
        <v>5</v>
      </c>
      <c r="I100" s="1" t="str">
        <v>Mejora</v>
      </c>
    </row>
    <row r="101" spans="1:9" x14ac:dyDescent="0.3">
      <c r="A101" s="1" t="str">
        <v>Prueba 100</v>
      </c>
      <c r="B101" s="1" t="str">
        <v>238829520 -&gt; 5990070#1 | t=500 | 31/07/2026 11:25</v>
      </c>
      <c r="C101" s="1">
        <v>199</v>
      </c>
      <c r="D101" s="1">
        <v>151</v>
      </c>
      <c r="E101" s="18">
        <f t="shared" si="1"/>
        <v>48</v>
      </c>
      <c r="F101" s="7">
        <v>0.24120603015075373</v>
      </c>
      <c r="G101" s="1">
        <v>43.099199999999996</v>
      </c>
      <c r="H101" s="1">
        <v>5</v>
      </c>
      <c r="I101" s="1" t="str">
        <v>Mejora</v>
      </c>
    </row>
    <row r="102" spans="1:9" x14ac:dyDescent="0.3">
      <c r="A102" s="1" t="str">
        <v>Prueba 101</v>
      </c>
      <c r="B102" s="1" t="str">
        <v>238829520 -&gt; 5990070#1 | t=500 | 31/07/2026 11:30</v>
      </c>
      <c r="C102" s="1">
        <v>200</v>
      </c>
      <c r="D102" s="1">
        <v>195</v>
      </c>
      <c r="E102" s="18">
        <f t="shared" si="1"/>
        <v>5</v>
      </c>
      <c r="F102" s="7">
        <v>2.5000000000000036E-2</v>
      </c>
      <c r="G102" s="1">
        <v>33.2928</v>
      </c>
      <c r="H102" s="1">
        <v>5</v>
      </c>
      <c r="I102" s="1" t="str">
        <v>Mejora</v>
      </c>
    </row>
    <row r="103" spans="1:9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</row>
    <row r="104" spans="1:9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</row>
    <row r="105" spans="1:9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</row>
    <row r="106" spans="1:9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</row>
    <row r="107" spans="1:9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</row>
    <row r="108" spans="1:9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</row>
    <row r="109" spans="1:9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</row>
    <row r="110" spans="1:9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</row>
    <row r="111" spans="1:9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</row>
    <row r="112" spans="1:9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</row>
    <row r="113" spans="1:9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</row>
    <row r="114" spans="1:9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</row>
    <row r="115" spans="1:9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</row>
    <row r="116" spans="1:9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</row>
    <row r="117" spans="1:9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</row>
    <row r="118" spans="1:9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</row>
    <row r="119" spans="1:9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</row>
    <row r="120" spans="1:9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</row>
    <row r="121" spans="1:9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</row>
    <row r="122" spans="1:9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</row>
    <row r="123" spans="1:9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</row>
    <row r="124" spans="1:9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</row>
    <row r="125" spans="1:9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</row>
    <row r="126" spans="1:9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</row>
    <row r="127" spans="1:9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</row>
    <row r="128" spans="1:9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</row>
    <row r="129" spans="1:9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</row>
    <row r="130" spans="1:9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</row>
    <row r="131" spans="1:9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</row>
    <row r="132" spans="1:9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</row>
    <row r="133" spans="1:9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</row>
    <row r="134" spans="1:9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</row>
    <row r="135" spans="1:9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</row>
    <row r="136" spans="1:9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</row>
    <row r="137" spans="1:9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</row>
    <row r="138" spans="1:9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</row>
    <row r="139" spans="1:9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</row>
    <row r="140" spans="1:9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</row>
    <row r="141" spans="1:9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</row>
    <row r="142" spans="1:9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</row>
    <row r="143" spans="1:9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</row>
    <row r="144" spans="1:9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</row>
    <row r="145" spans="1:9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</row>
    <row r="146" spans="1:9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</row>
    <row r="147" spans="1:9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</row>
    <row r="148" spans="1:9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</row>
    <row r="149" spans="1:9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</row>
    <row r="150" spans="1:9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</row>
    <row r="151" spans="1:9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</row>
    <row r="152" spans="1:9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</row>
    <row r="153" spans="1:9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</row>
    <row r="154" spans="1:9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</row>
    <row r="155" spans="1:9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</row>
    <row r="156" spans="1:9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</row>
    <row r="157" spans="1:9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</row>
    <row r="158" spans="1:9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</row>
    <row r="159" spans="1:9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</row>
    <row r="160" spans="1:9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</row>
    <row r="161" spans="1:9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</row>
    <row r="162" spans="1:9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</row>
    <row r="163" spans="1:9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</row>
    <row r="164" spans="1:9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</row>
    <row r="165" spans="1:9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</row>
    <row r="166" spans="1:9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</row>
    <row r="167" spans="1:9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</row>
    <row r="168" spans="1:9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</row>
    <row r="169" spans="1:9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</row>
    <row r="170" spans="1:9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</row>
    <row r="171" spans="1:9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</row>
    <row r="172" spans="1:9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</row>
    <row r="173" spans="1:9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</row>
    <row r="174" spans="1:9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</row>
    <row r="175" spans="1:9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</row>
    <row r="176" spans="1:9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</row>
    <row r="177" spans="1:9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</row>
    <row r="178" spans="1:9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</row>
    <row r="179" spans="1:9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</row>
    <row r="180" spans="1:9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</row>
    <row r="181" spans="1:9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</row>
    <row r="182" spans="1:9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</row>
    <row r="183" spans="1:9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</row>
    <row r="184" spans="1:9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</row>
    <row r="185" spans="1:9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</row>
    <row r="186" spans="1:9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</row>
    <row r="187" spans="1:9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</row>
    <row r="188" spans="1:9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</row>
    <row r="189" spans="1:9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</row>
    <row r="190" spans="1:9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</row>
    <row r="191" spans="1:9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</row>
    <row r="192" spans="1:9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</row>
    <row r="193" spans="1:9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</row>
    <row r="194" spans="1:9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</row>
    <row r="195" spans="1:9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</row>
    <row r="196" spans="1:9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</row>
    <row r="197" spans="1:9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</row>
    <row r="198" spans="1:9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</row>
    <row r="199" spans="1:9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</row>
    <row r="200" spans="1:9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</row>
    <row r="201" spans="1:9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</row>
    <row r="202" spans="1:9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</row>
    <row r="203" spans="1:9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</row>
    <row r="204" spans="1:9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</row>
    <row r="205" spans="1:9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</row>
    <row r="206" spans="1:9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</row>
    <row r="207" spans="1:9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</row>
    <row r="208" spans="1:9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</row>
    <row r="209" spans="1:9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</row>
    <row r="210" spans="1:9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</row>
    <row r="211" spans="1:9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</row>
    <row r="212" spans="1:9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</row>
    <row r="213" spans="1:9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</row>
    <row r="214" spans="1:9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</row>
    <row r="215" spans="1:9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</row>
    <row r="216" spans="1:9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</row>
    <row r="217" spans="1:9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</row>
    <row r="218" spans="1:9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</row>
    <row r="219" spans="1:9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</row>
    <row r="220" spans="1:9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</row>
    <row r="221" spans="1:9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</row>
    <row r="222" spans="1:9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</row>
    <row r="223" spans="1:9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</row>
    <row r="224" spans="1:9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</row>
    <row r="225" spans="1:9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</row>
    <row r="226" spans="1:9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</row>
    <row r="227" spans="1:9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</row>
    <row r="228" spans="1:9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</row>
    <row r="229" spans="1:9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</row>
    <row r="230" spans="1:9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</row>
    <row r="231" spans="1:9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</row>
    <row r="232" spans="1:9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</row>
    <row r="233" spans="1:9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</row>
    <row r="234" spans="1:9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</row>
    <row r="235" spans="1:9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</row>
    <row r="236" spans="1:9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</row>
    <row r="237" spans="1:9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</row>
    <row r="238" spans="1:9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</row>
    <row r="239" spans="1:9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</row>
    <row r="240" spans="1:9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</row>
    <row r="241" spans="1:9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</row>
    <row r="242" spans="1:9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</row>
    <row r="243" spans="1:9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</row>
    <row r="244" spans="1:9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</row>
    <row r="245" spans="1:9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</row>
    <row r="246" spans="1:9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</row>
    <row r="247" spans="1:9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</row>
    <row r="248" spans="1:9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</row>
    <row r="249" spans="1:9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</row>
    <row r="250" spans="1:9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</row>
    <row r="251" spans="1:9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</row>
    <row r="252" spans="1:9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</row>
    <row r="253" spans="1:9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</row>
    <row r="254" spans="1:9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</row>
    <row r="255" spans="1:9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</row>
    <row r="256" spans="1:9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</row>
    <row r="257" spans="1:9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</row>
    <row r="258" spans="1:9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</row>
    <row r="259" spans="1:9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</row>
    <row r="260" spans="1:9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</row>
    <row r="261" spans="1:9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</row>
    <row r="262" spans="1:9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</row>
    <row r="263" spans="1:9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</row>
    <row r="264" spans="1:9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</row>
    <row r="265" spans="1:9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</row>
    <row r="266" spans="1:9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</row>
    <row r="267" spans="1:9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</row>
    <row r="268" spans="1:9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</row>
    <row r="269" spans="1:9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</row>
    <row r="270" spans="1:9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</row>
    <row r="271" spans="1:9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</row>
    <row r="272" spans="1:9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</row>
    <row r="273" spans="1:9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</row>
    <row r="274" spans="1:9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</row>
    <row r="275" spans="1:9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</row>
    <row r="276" spans="1:9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</row>
    <row r="277" spans="1:9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</row>
    <row r="278" spans="1:9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</row>
    <row r="279" spans="1:9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</row>
    <row r="280" spans="1:9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</row>
    <row r="281" spans="1:9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</row>
    <row r="282" spans="1:9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</row>
    <row r="283" spans="1:9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</row>
    <row r="284" spans="1:9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</row>
    <row r="285" spans="1:9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</row>
    <row r="286" spans="1:9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</row>
    <row r="287" spans="1:9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</row>
    <row r="288" spans="1:9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</row>
    <row r="289" spans="1:9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</row>
    <row r="290" spans="1:9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</row>
    <row r="291" spans="1:9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</row>
    <row r="292" spans="1:9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</row>
    <row r="293" spans="1:9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</row>
    <row r="294" spans="1:9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</row>
    <row r="295" spans="1:9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</row>
    <row r="296" spans="1:9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</row>
    <row r="297" spans="1:9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</row>
    <row r="298" spans="1:9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</row>
    <row r="299" spans="1:9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</row>
    <row r="300" spans="1:9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</row>
    <row r="301" spans="1:9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</row>
    <row r="302" spans="1:9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</row>
    <row r="303" spans="1:9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</row>
    <row r="304" spans="1:9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</row>
    <row r="305" spans="1:9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</row>
    <row r="306" spans="1:9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</row>
    <row r="307" spans="1:9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</row>
    <row r="308" spans="1:9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</row>
    <row r="309" spans="1:9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</row>
    <row r="310" spans="1:9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</row>
    <row r="311" spans="1:9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</row>
    <row r="312" spans="1:9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</row>
    <row r="313" spans="1:9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</row>
    <row r="314" spans="1:9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</row>
    <row r="315" spans="1:9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</row>
    <row r="316" spans="1:9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</row>
    <row r="317" spans="1:9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</row>
    <row r="318" spans="1:9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</row>
    <row r="319" spans="1:9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</row>
    <row r="320" spans="1:9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</row>
    <row r="321" spans="1:9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</row>
    <row r="322" spans="1:9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</row>
    <row r="323" spans="1:9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</row>
    <row r="324" spans="1:9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</row>
    <row r="325" spans="1:9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</row>
    <row r="326" spans="1:9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</row>
    <row r="327" spans="1:9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</row>
    <row r="328" spans="1:9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</row>
    <row r="329" spans="1:9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</row>
    <row r="330" spans="1:9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</row>
    <row r="331" spans="1:9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</row>
    <row r="332" spans="1:9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</row>
    <row r="333" spans="1:9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</row>
    <row r="334" spans="1:9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</row>
    <row r="335" spans="1:9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</row>
    <row r="336" spans="1:9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</row>
    <row r="337" spans="1:9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</row>
    <row r="338" spans="1:9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</row>
    <row r="339" spans="1:9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</row>
    <row r="340" spans="1:9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</row>
    <row r="341" spans="1:9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</row>
    <row r="342" spans="1:9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</row>
    <row r="343" spans="1:9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</row>
    <row r="344" spans="1:9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</row>
    <row r="345" spans="1:9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</row>
    <row r="346" spans="1:9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</row>
    <row r="347" spans="1:9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</row>
    <row r="348" spans="1:9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</row>
    <row r="349" spans="1:9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</row>
    <row r="350" spans="1:9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</row>
    <row r="351" spans="1:9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</row>
    <row r="352" spans="1:9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</row>
    <row r="353" spans="1:9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</row>
    <row r="354" spans="1:9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</row>
    <row r="355" spans="1:9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</row>
    <row r="356" spans="1:9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</row>
    <row r="357" spans="1:9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</row>
    <row r="358" spans="1:9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</row>
    <row r="359" spans="1:9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</row>
    <row r="360" spans="1:9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</row>
    <row r="361" spans="1:9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</row>
    <row r="362" spans="1:9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</row>
    <row r="363" spans="1:9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</row>
    <row r="364" spans="1:9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</row>
    <row r="365" spans="1:9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</row>
    <row r="366" spans="1:9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</row>
    <row r="367" spans="1:9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</row>
    <row r="368" spans="1:9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</row>
    <row r="369" spans="1:9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</row>
    <row r="370" spans="1:9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</row>
    <row r="371" spans="1:9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</row>
    <row r="372" spans="1:9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</row>
    <row r="373" spans="1:9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</row>
    <row r="374" spans="1:9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</row>
    <row r="375" spans="1:9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</row>
    <row r="376" spans="1:9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</row>
    <row r="377" spans="1:9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</row>
    <row r="378" spans="1:9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</row>
    <row r="379" spans="1:9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</row>
    <row r="380" spans="1:9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</row>
    <row r="381" spans="1:9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</row>
    <row r="382" spans="1:9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</row>
    <row r="383" spans="1:9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</row>
    <row r="384" spans="1:9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</row>
    <row r="385" spans="1:9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</row>
    <row r="386" spans="1:9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</row>
    <row r="387" spans="1:9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</row>
    <row r="388" spans="1:9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</row>
    <row r="389" spans="1:9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</row>
    <row r="390" spans="1:9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</row>
    <row r="391" spans="1:9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</row>
    <row r="392" spans="1:9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</row>
    <row r="393" spans="1:9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</row>
    <row r="394" spans="1:9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</row>
    <row r="395" spans="1:9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</row>
    <row r="396" spans="1:9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</row>
    <row r="397" spans="1:9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</row>
    <row r="398" spans="1:9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</row>
    <row r="399" spans="1:9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</row>
    <row r="400" spans="1:9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</row>
    <row r="401" spans="1:9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</row>
    <row r="402" spans="1:9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</row>
    <row r="403" spans="1:9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</row>
    <row r="404" spans="1:9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</row>
    <row r="405" spans="1:9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</row>
    <row r="406" spans="1:9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</row>
    <row r="407" spans="1:9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</row>
    <row r="408" spans="1:9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</row>
    <row r="409" spans="1:9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</row>
    <row r="410" spans="1:9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</row>
    <row r="411" spans="1:9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</row>
    <row r="412" spans="1:9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</row>
    <row r="413" spans="1:9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</row>
    <row r="414" spans="1:9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</row>
    <row r="415" spans="1:9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</row>
    <row r="416" spans="1:9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</row>
    <row r="417" spans="1:9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</row>
    <row r="418" spans="1:9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</row>
    <row r="419" spans="1:9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</row>
    <row r="420" spans="1:9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</row>
    <row r="421" spans="1:9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</row>
    <row r="422" spans="1:9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</row>
    <row r="423" spans="1:9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</row>
    <row r="424" spans="1:9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</row>
    <row r="425" spans="1:9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</row>
    <row r="426" spans="1:9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</row>
    <row r="427" spans="1:9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</row>
    <row r="428" spans="1:9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</row>
    <row r="429" spans="1:9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</row>
    <row r="430" spans="1:9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</row>
    <row r="431" spans="1:9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</row>
    <row r="432" spans="1:9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</row>
    <row r="433" spans="1:9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</row>
    <row r="434" spans="1:9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</row>
    <row r="435" spans="1:9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</row>
    <row r="436" spans="1:9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</row>
    <row r="437" spans="1:9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</row>
    <row r="438" spans="1:9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</row>
    <row r="439" spans="1:9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</row>
    <row r="440" spans="1:9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</row>
    <row r="441" spans="1:9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</row>
    <row r="442" spans="1:9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</row>
    <row r="443" spans="1:9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</row>
    <row r="444" spans="1:9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</row>
    <row r="445" spans="1:9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</row>
    <row r="446" spans="1:9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</row>
    <row r="447" spans="1:9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</row>
    <row r="448" spans="1:9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</row>
    <row r="449" spans="1:9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</row>
    <row r="450" spans="1:9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</row>
    <row r="451" spans="1:9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</row>
    <row r="452" spans="1:9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</row>
    <row r="453" spans="1:9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</row>
    <row r="454" spans="1:9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</row>
    <row r="455" spans="1:9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</row>
    <row r="456" spans="1:9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</row>
    <row r="457" spans="1:9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</row>
    <row r="458" spans="1:9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</row>
    <row r="459" spans="1:9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</row>
    <row r="460" spans="1:9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</row>
    <row r="461" spans="1:9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</row>
    <row r="462" spans="1:9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</row>
    <row r="463" spans="1:9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</row>
    <row r="464" spans="1:9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</row>
    <row r="465" spans="1:9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</row>
    <row r="466" spans="1:9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</row>
    <row r="467" spans="1:9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</row>
    <row r="468" spans="1:9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</row>
    <row r="469" spans="1:9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</row>
    <row r="470" spans="1:9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</row>
    <row r="471" spans="1:9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</row>
    <row r="472" spans="1:9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</row>
    <row r="473" spans="1:9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</row>
    <row r="474" spans="1:9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</row>
    <row r="475" spans="1:9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</row>
    <row r="476" spans="1:9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</row>
    <row r="477" spans="1:9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</row>
    <row r="478" spans="1:9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</row>
    <row r="479" spans="1:9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</row>
    <row r="480" spans="1:9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</row>
    <row r="481" spans="1:9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</row>
    <row r="482" spans="1:9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</row>
    <row r="483" spans="1:9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</row>
    <row r="484" spans="1:9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</row>
    <row r="485" spans="1:9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</row>
    <row r="486" spans="1:9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</row>
    <row r="487" spans="1:9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</row>
    <row r="488" spans="1:9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</row>
    <row r="489" spans="1:9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</row>
    <row r="490" spans="1:9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</row>
    <row r="491" spans="1:9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</row>
    <row r="492" spans="1:9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</row>
    <row r="493" spans="1:9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</row>
    <row r="494" spans="1:9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</row>
    <row r="495" spans="1:9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</row>
    <row r="496" spans="1:9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</row>
    <row r="497" spans="1:9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</row>
    <row r="498" spans="1:9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</row>
    <row r="499" spans="1:9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</row>
    <row r="500" spans="1:9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</row>
    <row r="501" spans="1:9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</row>
    <row r="502" spans="1:9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</row>
    <row r="503" spans="1:9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</row>
    <row r="504" spans="1:9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</row>
    <row r="505" spans="1:9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</row>
    <row r="506" spans="1:9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</row>
    <row r="507" spans="1:9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</row>
    <row r="508" spans="1:9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</row>
    <row r="509" spans="1:9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</row>
    <row r="510" spans="1:9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</row>
    <row r="511" spans="1:9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</row>
    <row r="512" spans="1:9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</row>
    <row r="513" spans="1:9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</row>
    <row r="514" spans="1:9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</row>
    <row r="515" spans="1:9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</row>
    <row r="516" spans="1:9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</row>
    <row r="517" spans="1:9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</row>
    <row r="518" spans="1:9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</row>
    <row r="519" spans="1:9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</row>
    <row r="520" spans="1:9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</row>
    <row r="521" spans="1:9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</row>
    <row r="522" spans="1:9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</row>
    <row r="523" spans="1:9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</row>
    <row r="524" spans="1:9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</row>
    <row r="525" spans="1:9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</row>
    <row r="526" spans="1:9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</row>
    <row r="527" spans="1:9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</row>
    <row r="528" spans="1:9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</row>
    <row r="529" spans="1:9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</row>
    <row r="530" spans="1:9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</row>
    <row r="531" spans="1:9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</row>
    <row r="532" spans="1:9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</row>
    <row r="533" spans="1:9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</row>
    <row r="534" spans="1:9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</row>
    <row r="535" spans="1:9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</row>
    <row r="536" spans="1:9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</row>
    <row r="537" spans="1:9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</row>
    <row r="538" spans="1:9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</row>
    <row r="539" spans="1:9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</row>
    <row r="540" spans="1:9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</row>
    <row r="541" spans="1:9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</row>
    <row r="542" spans="1:9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</row>
    <row r="543" spans="1:9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</row>
    <row r="544" spans="1:9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</row>
    <row r="545" spans="1:9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</row>
    <row r="546" spans="1:9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</row>
    <row r="547" spans="1:9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</row>
    <row r="548" spans="1:9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</row>
    <row r="549" spans="1:9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</row>
    <row r="550" spans="1:9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</row>
    <row r="551" spans="1:9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</row>
    <row r="552" spans="1:9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</row>
    <row r="553" spans="1:9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</row>
    <row r="554" spans="1:9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</row>
    <row r="555" spans="1:9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</row>
    <row r="556" spans="1:9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</row>
    <row r="557" spans="1:9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</row>
    <row r="558" spans="1:9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</row>
    <row r="559" spans="1:9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</row>
    <row r="560" spans="1:9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</row>
    <row r="561" spans="1:9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</row>
    <row r="562" spans="1:9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</row>
    <row r="563" spans="1:9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</row>
    <row r="564" spans="1:9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</row>
    <row r="565" spans="1:9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</row>
    <row r="566" spans="1:9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</row>
    <row r="567" spans="1:9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</row>
    <row r="568" spans="1:9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</row>
    <row r="569" spans="1:9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</row>
    <row r="570" spans="1:9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</row>
    <row r="571" spans="1:9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</row>
    <row r="572" spans="1:9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</row>
    <row r="573" spans="1:9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</row>
    <row r="574" spans="1:9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</row>
    <row r="575" spans="1:9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</row>
    <row r="576" spans="1:9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</row>
    <row r="577" spans="1:9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</row>
    <row r="578" spans="1:9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</row>
    <row r="579" spans="1:9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</row>
    <row r="580" spans="1:9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</row>
    <row r="581" spans="1:9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</row>
    <row r="582" spans="1:9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</row>
    <row r="583" spans="1:9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</row>
    <row r="584" spans="1:9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</row>
    <row r="585" spans="1:9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</row>
    <row r="586" spans="1:9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</row>
    <row r="587" spans="1:9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</row>
    <row r="588" spans="1:9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</row>
    <row r="589" spans="1:9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</row>
    <row r="590" spans="1:9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</row>
    <row r="591" spans="1:9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</row>
    <row r="592" spans="1:9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</row>
    <row r="593" spans="1:9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</row>
    <row r="594" spans="1:9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</row>
    <row r="595" spans="1:9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</row>
    <row r="596" spans="1:9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</row>
    <row r="597" spans="1:9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</row>
    <row r="598" spans="1:9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</row>
    <row r="599" spans="1:9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</row>
    <row r="600" spans="1:9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</row>
    <row r="601" spans="1:9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</row>
    <row r="602" spans="1:9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</row>
    <row r="603" spans="1:9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</row>
    <row r="604" spans="1:9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</row>
    <row r="605" spans="1:9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</row>
    <row r="606" spans="1:9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</row>
    <row r="607" spans="1:9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</row>
    <row r="608" spans="1:9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</row>
    <row r="609" spans="1:9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</row>
    <row r="610" spans="1:9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</row>
    <row r="611" spans="1:9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</row>
    <row r="612" spans="1:9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</row>
    <row r="613" spans="1:9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</row>
    <row r="614" spans="1:9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</row>
    <row r="615" spans="1:9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</row>
    <row r="616" spans="1:9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</row>
    <row r="617" spans="1:9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</row>
    <row r="618" spans="1:9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</row>
    <row r="619" spans="1:9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</row>
    <row r="620" spans="1:9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</row>
    <row r="621" spans="1:9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</row>
    <row r="622" spans="1:9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</row>
    <row r="623" spans="1:9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</row>
    <row r="624" spans="1:9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</row>
    <row r="625" spans="1:9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</row>
    <row r="626" spans="1:9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</row>
    <row r="627" spans="1:9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</row>
    <row r="628" spans="1:9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</row>
    <row r="629" spans="1:9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</row>
    <row r="630" spans="1:9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</row>
    <row r="631" spans="1:9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</row>
    <row r="632" spans="1:9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</row>
    <row r="633" spans="1:9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</row>
    <row r="634" spans="1:9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</row>
    <row r="635" spans="1:9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</row>
    <row r="636" spans="1:9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</row>
    <row r="637" spans="1:9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</row>
    <row r="638" spans="1:9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</row>
    <row r="639" spans="1:9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</row>
    <row r="640" spans="1:9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</row>
    <row r="641" spans="1:9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</row>
    <row r="642" spans="1:9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</row>
    <row r="643" spans="1:9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</row>
    <row r="644" spans="1:9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</row>
    <row r="645" spans="1:9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</row>
    <row r="646" spans="1:9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</row>
    <row r="647" spans="1:9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</row>
    <row r="648" spans="1:9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</row>
    <row r="649" spans="1:9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</row>
    <row r="650" spans="1:9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</row>
    <row r="651" spans="1:9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</row>
    <row r="652" spans="1:9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</row>
    <row r="653" spans="1:9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</row>
    <row r="654" spans="1:9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</row>
    <row r="655" spans="1:9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</row>
    <row r="656" spans="1:9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</row>
    <row r="657" spans="1:9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</row>
    <row r="658" spans="1:9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</row>
    <row r="659" spans="1:9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</row>
    <row r="660" spans="1:9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</row>
    <row r="661" spans="1:9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</row>
    <row r="662" spans="1:9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</row>
    <row r="663" spans="1:9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</row>
    <row r="664" spans="1:9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</row>
    <row r="665" spans="1:9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</row>
    <row r="666" spans="1:9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</row>
    <row r="667" spans="1:9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</row>
    <row r="668" spans="1:9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</row>
    <row r="669" spans="1:9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</row>
    <row r="670" spans="1:9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</row>
    <row r="671" spans="1:9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</row>
    <row r="672" spans="1:9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</row>
    <row r="673" spans="1:9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</row>
    <row r="674" spans="1:9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</row>
    <row r="675" spans="1:9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</row>
    <row r="676" spans="1:9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</row>
    <row r="677" spans="1:9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</row>
    <row r="678" spans="1:9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</row>
    <row r="679" spans="1:9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</row>
    <row r="680" spans="1:9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</row>
    <row r="681" spans="1:9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</row>
    <row r="682" spans="1:9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</row>
    <row r="683" spans="1:9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</row>
    <row r="684" spans="1:9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</row>
    <row r="685" spans="1:9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</row>
    <row r="686" spans="1:9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</row>
    <row r="687" spans="1:9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</row>
    <row r="688" spans="1:9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</row>
    <row r="689" spans="1:9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</row>
    <row r="690" spans="1:9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</row>
    <row r="691" spans="1:9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</row>
    <row r="692" spans="1:9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</row>
    <row r="693" spans="1:9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</row>
    <row r="694" spans="1:9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</row>
    <row r="695" spans="1:9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</row>
    <row r="696" spans="1:9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</row>
    <row r="697" spans="1:9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</row>
    <row r="698" spans="1:9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</row>
    <row r="699" spans="1:9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</row>
    <row r="700" spans="1:9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</row>
    <row r="701" spans="1:9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</row>
    <row r="702" spans="1:9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</row>
    <row r="703" spans="1:9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</row>
    <row r="704" spans="1:9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</row>
    <row r="705" spans="1:9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</row>
    <row r="706" spans="1:9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</row>
    <row r="707" spans="1:9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</row>
    <row r="708" spans="1:9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</row>
    <row r="709" spans="1:9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</row>
    <row r="710" spans="1:9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</row>
    <row r="711" spans="1:9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</row>
    <row r="712" spans="1:9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</row>
    <row r="713" spans="1:9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</row>
    <row r="714" spans="1:9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</row>
    <row r="715" spans="1:9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</row>
    <row r="716" spans="1:9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</row>
    <row r="717" spans="1:9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</row>
    <row r="718" spans="1:9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</row>
    <row r="719" spans="1:9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</row>
    <row r="720" spans="1:9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</row>
    <row r="721" spans="1:9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</row>
    <row r="722" spans="1:9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</row>
    <row r="723" spans="1:9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</row>
    <row r="724" spans="1:9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</row>
    <row r="725" spans="1:9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</row>
    <row r="726" spans="1:9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</row>
    <row r="727" spans="1:9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</row>
    <row r="728" spans="1:9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</row>
    <row r="729" spans="1:9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</row>
    <row r="730" spans="1:9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</row>
    <row r="731" spans="1:9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</row>
    <row r="732" spans="1:9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</row>
    <row r="733" spans="1:9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</row>
    <row r="734" spans="1:9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</row>
    <row r="735" spans="1:9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</row>
    <row r="736" spans="1:9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</row>
    <row r="737" spans="1:9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</row>
    <row r="738" spans="1:9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</row>
    <row r="739" spans="1:9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</row>
    <row r="740" spans="1:9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</row>
    <row r="741" spans="1:9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</row>
    <row r="742" spans="1:9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</row>
    <row r="743" spans="1:9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</row>
    <row r="744" spans="1:9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</row>
    <row r="745" spans="1:9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</row>
    <row r="746" spans="1:9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</row>
    <row r="747" spans="1:9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</row>
    <row r="748" spans="1:9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</row>
    <row r="749" spans="1:9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</row>
    <row r="750" spans="1:9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</row>
    <row r="751" spans="1:9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</row>
    <row r="752" spans="1:9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</row>
    <row r="753" spans="1:9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</row>
    <row r="754" spans="1:9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</row>
    <row r="755" spans="1:9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</row>
    <row r="756" spans="1:9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</row>
    <row r="757" spans="1:9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</row>
    <row r="758" spans="1:9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</row>
    <row r="759" spans="1:9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</row>
    <row r="760" spans="1:9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</row>
    <row r="761" spans="1:9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</row>
    <row r="762" spans="1:9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</row>
    <row r="763" spans="1:9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</row>
    <row r="764" spans="1:9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</row>
    <row r="765" spans="1:9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</row>
    <row r="766" spans="1:9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</row>
    <row r="767" spans="1:9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</row>
    <row r="768" spans="1:9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</row>
    <row r="769" spans="1:9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</row>
    <row r="770" spans="1:9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</row>
    <row r="771" spans="1:9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</row>
    <row r="772" spans="1:9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</row>
    <row r="773" spans="1:9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</row>
    <row r="774" spans="1:9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</row>
    <row r="775" spans="1:9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</row>
    <row r="776" spans="1:9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</row>
    <row r="777" spans="1:9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</row>
    <row r="778" spans="1:9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</row>
    <row r="779" spans="1:9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</row>
    <row r="780" spans="1:9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</row>
    <row r="781" spans="1:9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</row>
    <row r="782" spans="1:9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</row>
    <row r="783" spans="1:9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</row>
    <row r="784" spans="1:9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</row>
    <row r="785" spans="1:9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</row>
    <row r="786" spans="1:9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</row>
    <row r="787" spans="1:9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</row>
    <row r="788" spans="1:9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</row>
    <row r="789" spans="1:9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</row>
    <row r="790" spans="1:9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</row>
    <row r="791" spans="1:9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</row>
    <row r="792" spans="1:9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</row>
    <row r="793" spans="1:9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</row>
    <row r="794" spans="1:9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</row>
    <row r="795" spans="1:9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</row>
    <row r="796" spans="1:9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</row>
    <row r="797" spans="1:9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</row>
    <row r="798" spans="1:9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</row>
    <row r="799" spans="1:9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</row>
    <row r="800" spans="1:9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</row>
    <row r="801" spans="1:9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</row>
    <row r="802" spans="1:9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</row>
    <row r="803" spans="1:9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</row>
    <row r="804" spans="1:9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</row>
    <row r="805" spans="1:9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</row>
    <row r="806" spans="1:9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</row>
    <row r="807" spans="1:9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</row>
    <row r="808" spans="1:9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</row>
    <row r="809" spans="1:9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</row>
    <row r="810" spans="1:9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</row>
    <row r="811" spans="1:9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</row>
    <row r="812" spans="1:9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</row>
    <row r="813" spans="1:9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</row>
    <row r="814" spans="1:9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</row>
    <row r="815" spans="1:9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</row>
    <row r="816" spans="1:9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</row>
    <row r="817" spans="1:9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</row>
    <row r="818" spans="1:9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</row>
    <row r="819" spans="1:9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</row>
    <row r="820" spans="1:9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</row>
    <row r="821" spans="1:9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</row>
    <row r="822" spans="1:9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</row>
    <row r="823" spans="1:9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</row>
    <row r="824" spans="1:9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</row>
    <row r="825" spans="1:9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</row>
    <row r="826" spans="1:9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</row>
    <row r="827" spans="1:9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</row>
    <row r="828" spans="1:9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</row>
    <row r="829" spans="1:9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</row>
    <row r="830" spans="1:9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</row>
    <row r="831" spans="1:9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</row>
    <row r="832" spans="1:9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</row>
    <row r="833" spans="1:9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</row>
    <row r="834" spans="1:9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</row>
    <row r="835" spans="1:9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</row>
    <row r="836" spans="1:9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</row>
    <row r="837" spans="1:9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</row>
    <row r="838" spans="1:9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</row>
    <row r="839" spans="1:9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</row>
    <row r="840" spans="1:9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</row>
    <row r="841" spans="1:9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</row>
    <row r="842" spans="1:9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</row>
    <row r="843" spans="1:9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</row>
    <row r="844" spans="1:9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</row>
    <row r="845" spans="1:9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</row>
    <row r="846" spans="1:9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</row>
    <row r="847" spans="1:9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</row>
    <row r="848" spans="1:9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</row>
    <row r="849" spans="1:9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</row>
    <row r="850" spans="1:9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</row>
    <row r="851" spans="1:9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</row>
    <row r="852" spans="1:9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</row>
    <row r="853" spans="1:9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</row>
    <row r="854" spans="1:9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</row>
    <row r="855" spans="1:9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</row>
    <row r="856" spans="1:9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</row>
    <row r="857" spans="1:9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</row>
    <row r="858" spans="1:9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</row>
    <row r="859" spans="1:9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</row>
    <row r="860" spans="1:9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</row>
    <row r="861" spans="1:9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</row>
    <row r="862" spans="1:9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</row>
    <row r="863" spans="1:9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</row>
    <row r="864" spans="1:9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</row>
    <row r="865" spans="1:9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</row>
    <row r="866" spans="1:9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</row>
    <row r="867" spans="1:9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</row>
    <row r="868" spans="1:9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</row>
    <row r="869" spans="1:9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</row>
    <row r="870" spans="1:9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</row>
    <row r="871" spans="1:9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</row>
    <row r="872" spans="1:9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</row>
    <row r="873" spans="1:9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</row>
    <row r="874" spans="1:9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</row>
    <row r="875" spans="1:9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</row>
    <row r="876" spans="1:9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</row>
    <row r="877" spans="1:9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</row>
    <row r="878" spans="1:9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</row>
    <row r="879" spans="1:9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</row>
    <row r="880" spans="1:9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</row>
    <row r="881" spans="1:9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</row>
    <row r="882" spans="1:9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</row>
    <row r="883" spans="1:9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</row>
    <row r="884" spans="1:9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</row>
    <row r="885" spans="1:9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</row>
    <row r="886" spans="1:9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</row>
    <row r="887" spans="1:9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</row>
    <row r="888" spans="1:9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</row>
    <row r="889" spans="1:9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</row>
    <row r="890" spans="1:9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</row>
    <row r="891" spans="1:9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</row>
    <row r="892" spans="1:9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</row>
    <row r="893" spans="1:9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</row>
    <row r="894" spans="1:9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</row>
    <row r="895" spans="1:9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</row>
    <row r="896" spans="1:9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</row>
    <row r="897" spans="1:9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</row>
    <row r="898" spans="1:9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</row>
    <row r="899" spans="1:9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</row>
    <row r="900" spans="1:9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</row>
    <row r="901" spans="1:9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</row>
    <row r="902" spans="1:9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</row>
    <row r="903" spans="1:9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</row>
    <row r="904" spans="1:9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</row>
    <row r="905" spans="1:9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</row>
    <row r="906" spans="1:9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</row>
    <row r="907" spans="1:9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</row>
    <row r="908" spans="1:9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</row>
    <row r="909" spans="1:9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</row>
    <row r="910" spans="1:9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</row>
    <row r="911" spans="1:9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</row>
    <row r="912" spans="1:9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</row>
    <row r="913" spans="1:9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</row>
    <row r="914" spans="1:9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</row>
    <row r="915" spans="1:9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</row>
    <row r="916" spans="1:9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</row>
    <row r="917" spans="1:9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</row>
    <row r="918" spans="1:9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</row>
    <row r="919" spans="1:9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</row>
    <row r="920" spans="1:9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</row>
    <row r="921" spans="1:9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</row>
    <row r="922" spans="1:9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</row>
    <row r="923" spans="1:9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</row>
    <row r="924" spans="1:9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</row>
    <row r="925" spans="1:9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</row>
    <row r="926" spans="1:9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</row>
    <row r="927" spans="1:9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</row>
    <row r="928" spans="1:9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</row>
    <row r="929" spans="1:9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</row>
    <row r="930" spans="1:9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</row>
    <row r="931" spans="1:9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</row>
    <row r="932" spans="1:9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</row>
    <row r="933" spans="1:9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</row>
    <row r="934" spans="1:9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</row>
    <row r="935" spans="1:9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</row>
    <row r="936" spans="1:9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</row>
    <row r="937" spans="1:9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</row>
    <row r="938" spans="1:9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</row>
    <row r="939" spans="1:9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</row>
    <row r="940" spans="1:9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</row>
    <row r="941" spans="1:9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</row>
    <row r="942" spans="1:9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</row>
    <row r="943" spans="1:9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</row>
    <row r="944" spans="1:9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</row>
    <row r="945" spans="1:9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</row>
    <row r="946" spans="1:9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</row>
    <row r="947" spans="1:9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</row>
    <row r="948" spans="1:9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</row>
    <row r="949" spans="1:9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</row>
    <row r="950" spans="1:9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</row>
    <row r="951" spans="1:9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</row>
    <row r="952" spans="1:9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</row>
    <row r="953" spans="1:9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</row>
    <row r="954" spans="1:9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</row>
    <row r="955" spans="1:9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</row>
    <row r="956" spans="1:9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</row>
    <row r="957" spans="1:9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</row>
    <row r="958" spans="1:9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</row>
    <row r="959" spans="1:9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</row>
    <row r="960" spans="1:9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</row>
    <row r="961" spans="1:9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</row>
    <row r="962" spans="1:9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</row>
    <row r="963" spans="1:9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</row>
    <row r="964" spans="1:9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</row>
    <row r="965" spans="1:9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</row>
    <row r="966" spans="1:9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</row>
    <row r="967" spans="1:9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</row>
    <row r="968" spans="1:9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</row>
    <row r="969" spans="1:9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</row>
    <row r="970" spans="1:9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</row>
    <row r="971" spans="1:9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</row>
    <row r="972" spans="1:9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</row>
    <row r="973" spans="1:9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</row>
    <row r="974" spans="1:9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</row>
    <row r="975" spans="1:9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</row>
    <row r="976" spans="1:9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</row>
    <row r="977" spans="1:9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</row>
    <row r="978" spans="1:9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</row>
    <row r="979" spans="1:9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</row>
    <row r="980" spans="1:9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</row>
    <row r="981" spans="1:9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</row>
    <row r="982" spans="1:9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</row>
    <row r="983" spans="1:9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</row>
    <row r="984" spans="1:9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</row>
    <row r="985" spans="1:9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</row>
    <row r="986" spans="1:9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</row>
    <row r="987" spans="1:9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</row>
    <row r="988" spans="1:9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</row>
    <row r="989" spans="1:9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</row>
    <row r="990" spans="1:9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</row>
    <row r="991" spans="1:9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</row>
    <row r="992" spans="1:9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</row>
    <row r="993" spans="1:9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</row>
    <row r="994" spans="1:9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</row>
    <row r="995" spans="1:9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</row>
    <row r="996" spans="1:9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</row>
    <row r="997" spans="1:9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</row>
    <row r="998" spans="1:9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</row>
    <row r="999" spans="1:9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</row>
    <row r="1000" spans="1:9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2026-08-01T10:56:50Z</dcterms:modified>
</cp:coreProperties>
</file>